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D Field Status" sheetId="2" state="visible" r:id="rId2"/>
    <sheet xmlns:r="http://schemas.openxmlformats.org/officeDocument/2006/relationships" name="Missing &amp; Partial Report" sheetId="3" state="visible" r:id="rId3"/>
    <sheet xmlns:r="http://schemas.openxmlformats.org/officeDocument/2006/relationships" name="Missing Values (FRD)" sheetId="4" state="visible" r:id="rId4"/>
    <sheet xmlns:r="http://schemas.openxmlformats.org/officeDocument/2006/relationships" name="Defects Found" sheetId="5" state="visible" r:id="rId5"/>
  </sheets>
  <definedNames>
    <definedName name="_xlnm._FilterDatabase" localSheetId="1" hidden="1">'FRD Field Status'!$A$4:$G$401</definedName>
    <definedName name="_xlnm._FilterDatabase" localSheetId="2" hidden="1">'Missing &amp; Partial Report'!$A$3:$F$7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7F6000"/>
      <sz val="10"/>
    </font>
    <font>
      <name val="Arial"/>
      <b val="1"/>
      <color rgb="009C0006"/>
      <sz val="10"/>
    </font>
    <font>
      <name val="Arial"/>
      <b val="1"/>
      <color rgb="00404040"/>
      <sz val="10"/>
    </font>
    <font>
      <name val="Arial"/>
      <b val="1"/>
      <color rgb="001F3864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9" fontId="5" fillId="0" borderId="1" pivotButton="0" quotePrefix="0" xfId="0"/>
    <xf numFmtId="0" fontId="6" fillId="3" borderId="1" pivotButton="0" quotePrefix="0" xfId="0"/>
    <xf numFmtId="9" fontId="6" fillId="3" borderId="1" pivotButton="0" quotePrefix="0" xfId="0"/>
    <xf numFmtId="0" fontId="11" fillId="0" borderId="0" pivotButton="0" quotePrefix="0" xfId="0"/>
    <xf numFmtId="0" fontId="5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7F60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40404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1" customWidth="1" min="4" max="4"/>
    <col width="22" customWidth="1" min="5" max="5"/>
    <col width="9" customWidth="1" min="6" max="6"/>
    <col width="10" customWidth="1" min="7" max="7"/>
  </cols>
  <sheetData>
    <row r="1">
      <c r="A1" s="1" t="inlineStr">
        <is>
          <t>Sparsh Magic HRMS - Phase 1 FRD v1.1: Build Status</t>
        </is>
      </c>
    </row>
    <row r="2">
      <c r="A2" s="2" t="inlineStr">
        <is>
          <t>Source: 'Sparsh_Magic_HRMS_Phase1_FRD_v1_1_Configurable_Fields_Rules_Policies.pdf'. Status = HRMS code at commit 5cffdc2 plus the work of 24 Oct 2026 (marked NEW / DONE, not yet committed).</t>
        </is>
      </c>
    </row>
    <row r="3">
      <c r="A3" s="3" t="inlineStr">
        <is>
          <t>Legend: Built = in place and tested; Partially Built = exists with a stated gap; Missing = not built; Pending Client Decision = FRD leaves the value open.</t>
        </is>
      </c>
    </row>
    <row r="5" ht="30" customHeight="1">
      <c r="A5" s="4" t="inlineStr">
        <is>
          <t>FRD Section</t>
        </is>
      </c>
      <c r="B5" s="5" t="inlineStr">
        <is>
          <t>Built</t>
        </is>
      </c>
      <c r="C5" s="6" t="inlineStr">
        <is>
          <t>Partially Built</t>
        </is>
      </c>
      <c r="D5" s="7" t="inlineStr">
        <is>
          <t>Missing</t>
        </is>
      </c>
      <c r="E5" s="8" t="inlineStr">
        <is>
          <t>Pending Client Decision</t>
        </is>
      </c>
      <c r="F5" s="4" t="inlineStr">
        <is>
          <t>Total</t>
        </is>
      </c>
      <c r="G5" s="4" t="inlineStr">
        <is>
          <t>% Built</t>
        </is>
      </c>
    </row>
    <row r="6">
      <c r="A6" s="9" t="inlineStr">
        <is>
          <t>3. Employee Information</t>
        </is>
      </c>
      <c r="B6" s="9">
        <f>COUNTIFS('FRD Field Status'!$B$5:$B$401,$A6,'FRD Field Status'!$E$5:$E$401,"Built")</f>
        <v/>
      </c>
      <c r="C6" s="9">
        <f>COUNTIFS('FRD Field Status'!$B$5:$B$401,$A6,'FRD Field Status'!$E$5:$E$401,"Partially Built")</f>
        <v/>
      </c>
      <c r="D6" s="9">
        <f>COUNTIFS('FRD Field Status'!$B$5:$B$401,$A6,'FRD Field Status'!$E$5:$E$401,"Missing")</f>
        <v/>
      </c>
      <c r="E6" s="9">
        <f>COUNTIFS('FRD Field Status'!$B$5:$B$401,$A6,'FRD Field Status'!$E$5:$E$401,"Pending Client Decision")</f>
        <v/>
      </c>
      <c r="F6" s="10">
        <f>SUM(B6:E6)</f>
        <v/>
      </c>
      <c r="G6" s="11">
        <f>IF(F6=0,0,B6/F6)</f>
        <v/>
      </c>
    </row>
    <row r="7">
      <c r="A7" s="9" t="inlineStr">
        <is>
          <t>4. Employee Creation / Change Process</t>
        </is>
      </c>
      <c r="B7" s="9">
        <f>COUNTIFS('FRD Field Status'!$B$5:$B$401,$A7,'FRD Field Status'!$E$5:$E$401,"Built")</f>
        <v/>
      </c>
      <c r="C7" s="9">
        <f>COUNTIFS('FRD Field Status'!$B$5:$B$401,$A7,'FRD Field Status'!$E$5:$E$401,"Partially Built")</f>
        <v/>
      </c>
      <c r="D7" s="9">
        <f>COUNTIFS('FRD Field Status'!$B$5:$B$401,$A7,'FRD Field Status'!$E$5:$E$401,"Missing")</f>
        <v/>
      </c>
      <c r="E7" s="9">
        <f>COUNTIFS('FRD Field Status'!$B$5:$B$401,$A7,'FRD Field Status'!$E$5:$E$401,"Pending Client Decision")</f>
        <v/>
      </c>
      <c r="F7" s="10">
        <f>SUM(B7:E7)</f>
        <v/>
      </c>
      <c r="G7" s="11">
        <f>IF(F7=0,0,B7/F7)</f>
        <v/>
      </c>
    </row>
    <row r="8">
      <c r="A8" s="9" t="inlineStr">
        <is>
          <t>5. Attendance Configuration</t>
        </is>
      </c>
      <c r="B8" s="9">
        <f>COUNTIFS('FRD Field Status'!$B$5:$B$401,$A8,'FRD Field Status'!$E$5:$E$401,"Built")</f>
        <v/>
      </c>
      <c r="C8" s="9">
        <f>COUNTIFS('FRD Field Status'!$B$5:$B$401,$A8,'FRD Field Status'!$E$5:$E$401,"Partially Built")</f>
        <v/>
      </c>
      <c r="D8" s="9">
        <f>COUNTIFS('FRD Field Status'!$B$5:$B$401,$A8,'FRD Field Status'!$E$5:$E$401,"Missing")</f>
        <v/>
      </c>
      <c r="E8" s="9">
        <f>COUNTIFS('FRD Field Status'!$B$5:$B$401,$A8,'FRD Field Status'!$E$5:$E$401,"Pending Client Decision")</f>
        <v/>
      </c>
      <c r="F8" s="10">
        <f>SUM(B8:E8)</f>
        <v/>
      </c>
      <c r="G8" s="11">
        <f>IF(F8=0,0,B8/F8)</f>
        <v/>
      </c>
    </row>
    <row r="9">
      <c r="A9" s="9" t="inlineStr">
        <is>
          <t>6. Daily Attendance Fields</t>
        </is>
      </c>
      <c r="B9" s="9">
        <f>COUNTIFS('FRD Field Status'!$B$5:$B$401,$A9,'FRD Field Status'!$E$5:$E$401,"Built")</f>
        <v/>
      </c>
      <c r="C9" s="9">
        <f>COUNTIFS('FRD Field Status'!$B$5:$B$401,$A9,'FRD Field Status'!$E$5:$E$401,"Partially Built")</f>
        <v/>
      </c>
      <c r="D9" s="9">
        <f>COUNTIFS('FRD Field Status'!$B$5:$B$401,$A9,'FRD Field Status'!$E$5:$E$401,"Missing")</f>
        <v/>
      </c>
      <c r="E9" s="9">
        <f>COUNTIFS('FRD Field Status'!$B$5:$B$401,$A9,'FRD Field Status'!$E$5:$E$401,"Pending Client Decision")</f>
        <v/>
      </c>
      <c r="F9" s="10">
        <f>SUM(B9:E9)</f>
        <v/>
      </c>
      <c r="G9" s="11">
        <f>IF(F9=0,0,B9/F9)</f>
        <v/>
      </c>
    </row>
    <row r="10">
      <c r="A10" s="9" t="inlineStr">
        <is>
          <t>8. Attendance Processing &amp; Monthly Closure</t>
        </is>
      </c>
      <c r="B10" s="9">
        <f>COUNTIFS('FRD Field Status'!$B$5:$B$401,$A10,'FRD Field Status'!$E$5:$E$401,"Built")</f>
        <v/>
      </c>
      <c r="C10" s="9">
        <f>COUNTIFS('FRD Field Status'!$B$5:$B$401,$A10,'FRD Field Status'!$E$5:$E$401,"Partially Built")</f>
        <v/>
      </c>
      <c r="D10" s="9">
        <f>COUNTIFS('FRD Field Status'!$B$5:$B$401,$A10,'FRD Field Status'!$E$5:$E$401,"Missing")</f>
        <v/>
      </c>
      <c r="E10" s="9">
        <f>COUNTIFS('FRD Field Status'!$B$5:$B$401,$A10,'FRD Field Status'!$E$5:$E$401,"Pending Client Decision")</f>
        <v/>
      </c>
      <c r="F10" s="10">
        <f>SUM(B10:E10)</f>
        <v/>
      </c>
      <c r="G10" s="11">
        <f>IF(F10=0,0,B10/F10)</f>
        <v/>
      </c>
    </row>
    <row r="11">
      <c r="A11" s="9" t="inlineStr">
        <is>
          <t>9. Salary Structure Fields</t>
        </is>
      </c>
      <c r="B11" s="9">
        <f>COUNTIFS('FRD Field Status'!$B$5:$B$401,$A11,'FRD Field Status'!$E$5:$E$401,"Built")</f>
        <v/>
      </c>
      <c r="C11" s="9">
        <f>COUNTIFS('FRD Field Status'!$B$5:$B$401,$A11,'FRD Field Status'!$E$5:$E$401,"Partially Built")</f>
        <v/>
      </c>
      <c r="D11" s="9">
        <f>COUNTIFS('FRD Field Status'!$B$5:$B$401,$A11,'FRD Field Status'!$E$5:$E$401,"Missing")</f>
        <v/>
      </c>
      <c r="E11" s="9">
        <f>COUNTIFS('FRD Field Status'!$B$5:$B$401,$A11,'FRD Field Status'!$E$5:$E$401,"Pending Client Decision")</f>
        <v/>
      </c>
      <c r="F11" s="10">
        <f>SUM(B11:E11)</f>
        <v/>
      </c>
      <c r="G11" s="11">
        <f>IF(F11=0,0,B11/F11)</f>
        <v/>
      </c>
    </row>
    <row r="12">
      <c r="A12" s="9" t="inlineStr">
        <is>
          <t>10. Monthly Payroll Input</t>
        </is>
      </c>
      <c r="B12" s="9">
        <f>COUNTIFS('FRD Field Status'!$B$5:$B$401,$A12,'FRD Field Status'!$E$5:$E$401,"Built")</f>
        <v/>
      </c>
      <c r="C12" s="9">
        <f>COUNTIFS('FRD Field Status'!$B$5:$B$401,$A12,'FRD Field Status'!$E$5:$E$401,"Partially Built")</f>
        <v/>
      </c>
      <c r="D12" s="9">
        <f>COUNTIFS('FRD Field Status'!$B$5:$B$401,$A12,'FRD Field Status'!$E$5:$E$401,"Missing")</f>
        <v/>
      </c>
      <c r="E12" s="9">
        <f>COUNTIFS('FRD Field Status'!$B$5:$B$401,$A12,'FRD Field Status'!$E$5:$E$401,"Pending Client Decision")</f>
        <v/>
      </c>
      <c r="F12" s="10">
        <f>SUM(B12:E12)</f>
        <v/>
      </c>
      <c r="G12" s="11">
        <f>IF(F12=0,0,B12/F12)</f>
        <v/>
      </c>
    </row>
    <row r="13">
      <c r="A13" s="9" t="inlineStr">
        <is>
          <t>11. Payroll Calculation Logic</t>
        </is>
      </c>
      <c r="B13" s="9">
        <f>COUNTIFS('FRD Field Status'!$B$5:$B$401,$A13,'FRD Field Status'!$E$5:$E$401,"Built")</f>
        <v/>
      </c>
      <c r="C13" s="9">
        <f>COUNTIFS('FRD Field Status'!$B$5:$B$401,$A13,'FRD Field Status'!$E$5:$E$401,"Partially Built")</f>
        <v/>
      </c>
      <c r="D13" s="9">
        <f>COUNTIFS('FRD Field Status'!$B$5:$B$401,$A13,'FRD Field Status'!$E$5:$E$401,"Missing")</f>
        <v/>
      </c>
      <c r="E13" s="9">
        <f>COUNTIFS('FRD Field Status'!$B$5:$B$401,$A13,'FRD Field Status'!$E$5:$E$401,"Pending Client Decision")</f>
        <v/>
      </c>
      <c r="F13" s="10">
        <f>SUM(B13:E13)</f>
        <v/>
      </c>
      <c r="G13" s="11">
        <f>IF(F13=0,0,B13/F13)</f>
        <v/>
      </c>
    </row>
    <row r="14">
      <c r="A14" s="9" t="inlineStr">
        <is>
          <t>12. Payroll Approval Workflow</t>
        </is>
      </c>
      <c r="B14" s="9">
        <f>COUNTIFS('FRD Field Status'!$B$5:$B$401,$A14,'FRD Field Status'!$E$5:$E$401,"Built")</f>
        <v/>
      </c>
      <c r="C14" s="9">
        <f>COUNTIFS('FRD Field Status'!$B$5:$B$401,$A14,'FRD Field Status'!$E$5:$E$401,"Partially Built")</f>
        <v/>
      </c>
      <c r="D14" s="9">
        <f>COUNTIFS('FRD Field Status'!$B$5:$B$401,$A14,'FRD Field Status'!$E$5:$E$401,"Missing")</f>
        <v/>
      </c>
      <c r="E14" s="9">
        <f>COUNTIFS('FRD Field Status'!$B$5:$B$401,$A14,'FRD Field Status'!$E$5:$E$401,"Pending Client Decision")</f>
        <v/>
      </c>
      <c r="F14" s="10">
        <f>SUM(B14:E14)</f>
        <v/>
      </c>
      <c r="G14" s="11">
        <f>IF(F14=0,0,B14/F14)</f>
        <v/>
      </c>
    </row>
    <row r="15">
      <c r="A15" s="9" t="inlineStr">
        <is>
          <t>13. Salary Disbursal</t>
        </is>
      </c>
      <c r="B15" s="9">
        <f>COUNTIFS('FRD Field Status'!$B$5:$B$401,$A15,'FRD Field Status'!$E$5:$E$401,"Built")</f>
        <v/>
      </c>
      <c r="C15" s="9">
        <f>COUNTIFS('FRD Field Status'!$B$5:$B$401,$A15,'FRD Field Status'!$E$5:$E$401,"Partially Built")</f>
        <v/>
      </c>
      <c r="D15" s="9">
        <f>COUNTIFS('FRD Field Status'!$B$5:$B$401,$A15,'FRD Field Status'!$E$5:$E$401,"Missing")</f>
        <v/>
      </c>
      <c r="E15" s="9">
        <f>COUNTIFS('FRD Field Status'!$B$5:$B$401,$A15,'FRD Field Status'!$E$5:$E$401,"Pending Client Decision")</f>
        <v/>
      </c>
      <c r="F15" s="10">
        <f>SUM(B15:E15)</f>
        <v/>
      </c>
      <c r="G15" s="11">
        <f>IF(F15=0,0,B15/F15)</f>
        <v/>
      </c>
    </row>
    <row r="16">
      <c r="A16" s="9" t="inlineStr">
        <is>
          <t>14. Payslip</t>
        </is>
      </c>
      <c r="B16" s="9">
        <f>COUNTIFS('FRD Field Status'!$B$5:$B$401,$A16,'FRD Field Status'!$E$5:$E$401,"Built")</f>
        <v/>
      </c>
      <c r="C16" s="9">
        <f>COUNTIFS('FRD Field Status'!$B$5:$B$401,$A16,'FRD Field Status'!$E$5:$E$401,"Partially Built")</f>
        <v/>
      </c>
      <c r="D16" s="9">
        <f>COUNTIFS('FRD Field Status'!$B$5:$B$401,$A16,'FRD Field Status'!$E$5:$E$401,"Missing")</f>
        <v/>
      </c>
      <c r="E16" s="9">
        <f>COUNTIFS('FRD Field Status'!$B$5:$B$401,$A16,'FRD Field Status'!$E$5:$E$401,"Pending Client Decision")</f>
        <v/>
      </c>
      <c r="F16" s="10">
        <f>SUM(B16:E16)</f>
        <v/>
      </c>
      <c r="G16" s="11">
        <f>IF(F16=0,0,B16/F16)</f>
        <v/>
      </c>
    </row>
    <row r="17">
      <c r="A17" s="9" t="inlineStr">
        <is>
          <t>16. Core Data Relationships</t>
        </is>
      </c>
      <c r="B17" s="9">
        <f>COUNTIFS('FRD Field Status'!$B$5:$B$401,$A17,'FRD Field Status'!$E$5:$E$401,"Built")</f>
        <v/>
      </c>
      <c r="C17" s="9">
        <f>COUNTIFS('FRD Field Status'!$B$5:$B$401,$A17,'FRD Field Status'!$E$5:$E$401,"Partially Built")</f>
        <v/>
      </c>
      <c r="D17" s="9">
        <f>COUNTIFS('FRD Field Status'!$B$5:$B$401,$A17,'FRD Field Status'!$E$5:$E$401,"Missing")</f>
        <v/>
      </c>
      <c r="E17" s="9">
        <f>COUNTIFS('FRD Field Status'!$B$5:$B$401,$A17,'FRD Field Status'!$E$5:$E$401,"Pending Client Decision")</f>
        <v/>
      </c>
      <c r="F17" s="10">
        <f>SUM(B17:E17)</f>
        <v/>
      </c>
      <c r="G17" s="11">
        <f>IF(F17=0,0,B17/F17)</f>
        <v/>
      </c>
    </row>
    <row r="18">
      <c r="A18" s="9" t="inlineStr">
        <is>
          <t>17. Roles &amp; Access</t>
        </is>
      </c>
      <c r="B18" s="9">
        <f>COUNTIFS('FRD Field Status'!$B$5:$B$401,$A18,'FRD Field Status'!$E$5:$E$401,"Built")</f>
        <v/>
      </c>
      <c r="C18" s="9">
        <f>COUNTIFS('FRD Field Status'!$B$5:$B$401,$A18,'FRD Field Status'!$E$5:$E$401,"Partially Built")</f>
        <v/>
      </c>
      <c r="D18" s="9">
        <f>COUNTIFS('FRD Field Status'!$B$5:$B$401,$A18,'FRD Field Status'!$E$5:$E$401,"Missing")</f>
        <v/>
      </c>
      <c r="E18" s="9">
        <f>COUNTIFS('FRD Field Status'!$B$5:$B$401,$A18,'FRD Field Status'!$E$5:$E$401,"Pending Client Decision")</f>
        <v/>
      </c>
      <c r="F18" s="10">
        <f>SUM(B18:E18)</f>
        <v/>
      </c>
      <c r="G18" s="11">
        <f>IF(F18=0,0,B18/F18)</f>
        <v/>
      </c>
    </row>
    <row r="19">
      <c r="A19" s="9" t="inlineStr">
        <is>
          <t>18. Validation &amp; Control Requirements</t>
        </is>
      </c>
      <c r="B19" s="9">
        <f>COUNTIFS('FRD Field Status'!$B$5:$B$401,$A19,'FRD Field Status'!$E$5:$E$401,"Built")</f>
        <v/>
      </c>
      <c r="C19" s="9">
        <f>COUNTIFS('FRD Field Status'!$B$5:$B$401,$A19,'FRD Field Status'!$E$5:$E$401,"Partially Built")</f>
        <v/>
      </c>
      <c r="D19" s="9">
        <f>COUNTIFS('FRD Field Status'!$B$5:$B$401,$A19,'FRD Field Status'!$E$5:$E$401,"Missing")</f>
        <v/>
      </c>
      <c r="E19" s="9">
        <f>COUNTIFS('FRD Field Status'!$B$5:$B$401,$A19,'FRD Field Status'!$E$5:$E$401,"Pending Client Decision")</f>
        <v/>
      </c>
      <c r="F19" s="10">
        <f>SUM(B19:E19)</f>
        <v/>
      </c>
      <c r="G19" s="11">
        <f>IF(F19=0,0,B19/F19)</f>
        <v/>
      </c>
    </row>
    <row r="20">
      <c r="A20" s="9" t="inlineStr">
        <is>
          <t>20. Phase 1 Acceptance Criteria</t>
        </is>
      </c>
      <c r="B20" s="9">
        <f>COUNTIFS('FRD Field Status'!$B$5:$B$401,$A20,'FRD Field Status'!$E$5:$E$401,"Built")</f>
        <v/>
      </c>
      <c r="C20" s="9">
        <f>COUNTIFS('FRD Field Status'!$B$5:$B$401,$A20,'FRD Field Status'!$E$5:$E$401,"Partially Built")</f>
        <v/>
      </c>
      <c r="D20" s="9">
        <f>COUNTIFS('FRD Field Status'!$B$5:$B$401,$A20,'FRD Field Status'!$E$5:$E$401,"Missing")</f>
        <v/>
      </c>
      <c r="E20" s="9">
        <f>COUNTIFS('FRD Field Status'!$B$5:$B$401,$A20,'FRD Field Status'!$E$5:$E$401,"Pending Client Decision")</f>
        <v/>
      </c>
      <c r="F20" s="10">
        <f>SUM(B20:E20)</f>
        <v/>
      </c>
      <c r="G20" s="11">
        <f>IF(F20=0,0,B20/F20)</f>
        <v/>
      </c>
    </row>
    <row r="21">
      <c r="A21" s="9" t="inlineStr">
        <is>
          <t>21. Cross-Module Configurability</t>
        </is>
      </c>
      <c r="B21" s="9">
        <f>COUNTIFS('FRD Field Status'!$B$5:$B$401,$A21,'FRD Field Status'!$E$5:$E$401,"Built")</f>
        <v/>
      </c>
      <c r="C21" s="9">
        <f>COUNTIFS('FRD Field Status'!$B$5:$B$401,$A21,'FRD Field Status'!$E$5:$E$401,"Partially Built")</f>
        <v/>
      </c>
      <c r="D21" s="9">
        <f>COUNTIFS('FRD Field Status'!$B$5:$B$401,$A21,'FRD Field Status'!$E$5:$E$401,"Missing")</f>
        <v/>
      </c>
      <c r="E21" s="9">
        <f>COUNTIFS('FRD Field Status'!$B$5:$B$401,$A21,'FRD Field Status'!$E$5:$E$401,"Pending Client Decision")</f>
        <v/>
      </c>
      <c r="F21" s="10">
        <f>SUM(B21:E21)</f>
        <v/>
      </c>
      <c r="G21" s="11">
        <f>IF(F21=0,0,B21/F21)</f>
        <v/>
      </c>
    </row>
    <row r="22">
      <c r="A22" s="9" t="inlineStr">
        <is>
          <t>22. Configurable Field Management</t>
        </is>
      </c>
      <c r="B22" s="9">
        <f>COUNTIFS('FRD Field Status'!$B$5:$B$401,$A22,'FRD Field Status'!$E$5:$E$401,"Built")</f>
        <v/>
      </c>
      <c r="C22" s="9">
        <f>COUNTIFS('FRD Field Status'!$B$5:$B$401,$A22,'FRD Field Status'!$E$5:$E$401,"Partially Built")</f>
        <v/>
      </c>
      <c r="D22" s="9">
        <f>COUNTIFS('FRD Field Status'!$B$5:$B$401,$A22,'FRD Field Status'!$E$5:$E$401,"Missing")</f>
        <v/>
      </c>
      <c r="E22" s="9">
        <f>COUNTIFS('FRD Field Status'!$B$5:$B$401,$A22,'FRD Field Status'!$E$5:$E$401,"Pending Client Decision")</f>
        <v/>
      </c>
      <c r="F22" s="10">
        <f>SUM(B22:E22)</f>
        <v/>
      </c>
      <c r="G22" s="11">
        <f>IF(F22=0,0,B22/F22)</f>
        <v/>
      </c>
    </row>
    <row r="23">
      <c r="A23" s="9" t="inlineStr">
        <is>
          <t>23. Attendance Policy &amp; Rule Configuration</t>
        </is>
      </c>
      <c r="B23" s="9">
        <f>COUNTIFS('FRD Field Status'!$B$5:$B$401,$A23,'FRD Field Status'!$E$5:$E$401,"Built")</f>
        <v/>
      </c>
      <c r="C23" s="9">
        <f>COUNTIFS('FRD Field Status'!$B$5:$B$401,$A23,'FRD Field Status'!$E$5:$E$401,"Partially Built")</f>
        <v/>
      </c>
      <c r="D23" s="9">
        <f>COUNTIFS('FRD Field Status'!$B$5:$B$401,$A23,'FRD Field Status'!$E$5:$E$401,"Missing")</f>
        <v/>
      </c>
      <c r="E23" s="9">
        <f>COUNTIFS('FRD Field Status'!$B$5:$B$401,$A23,'FRD Field Status'!$E$5:$E$401,"Pending Client Decision")</f>
        <v/>
      </c>
      <c r="F23" s="10">
        <f>SUM(B23:E23)</f>
        <v/>
      </c>
      <c r="G23" s="11">
        <f>IF(F23=0,0,B23/F23)</f>
        <v/>
      </c>
    </row>
    <row r="24">
      <c r="A24" s="9" t="inlineStr">
        <is>
          <t>24. Salary Component Configuration</t>
        </is>
      </c>
      <c r="B24" s="9">
        <f>COUNTIFS('FRD Field Status'!$B$5:$B$401,$A24,'FRD Field Status'!$E$5:$E$401,"Built")</f>
        <v/>
      </c>
      <c r="C24" s="9">
        <f>COUNTIFS('FRD Field Status'!$B$5:$B$401,$A24,'FRD Field Status'!$E$5:$E$401,"Partially Built")</f>
        <v/>
      </c>
      <c r="D24" s="9">
        <f>COUNTIFS('FRD Field Status'!$B$5:$B$401,$A24,'FRD Field Status'!$E$5:$E$401,"Missing")</f>
        <v/>
      </c>
      <c r="E24" s="9">
        <f>COUNTIFS('FRD Field Status'!$B$5:$B$401,$A24,'FRD Field Status'!$E$5:$E$401,"Pending Client Decision")</f>
        <v/>
      </c>
      <c r="F24" s="10">
        <f>SUM(B24:E24)</f>
        <v/>
      </c>
      <c r="G24" s="11">
        <f>IF(F24=0,0,B24/F24)</f>
        <v/>
      </c>
    </row>
    <row r="25">
      <c r="A25" s="9" t="inlineStr">
        <is>
          <t>25. Formula / Calculation Rule Engine</t>
        </is>
      </c>
      <c r="B25" s="9">
        <f>COUNTIFS('FRD Field Status'!$B$5:$B$401,$A25,'FRD Field Status'!$E$5:$E$401,"Built")</f>
        <v/>
      </c>
      <c r="C25" s="9">
        <f>COUNTIFS('FRD Field Status'!$B$5:$B$401,$A25,'FRD Field Status'!$E$5:$E$401,"Partially Built")</f>
        <v/>
      </c>
      <c r="D25" s="9">
        <f>COUNTIFS('FRD Field Status'!$B$5:$B$401,$A25,'FRD Field Status'!$E$5:$E$401,"Missing")</f>
        <v/>
      </c>
      <c r="E25" s="9">
        <f>COUNTIFS('FRD Field Status'!$B$5:$B$401,$A25,'FRD Field Status'!$E$5:$E$401,"Pending Client Decision")</f>
        <v/>
      </c>
      <c r="F25" s="10">
        <f>SUM(B25:E25)</f>
        <v/>
      </c>
      <c r="G25" s="11">
        <f>IF(F25=0,0,B25/F25)</f>
        <v/>
      </c>
    </row>
    <row r="26">
      <c r="A26" s="9" t="inlineStr">
        <is>
          <t>26. Policy Versioning &amp; Effective Dates</t>
        </is>
      </c>
      <c r="B26" s="9">
        <f>COUNTIFS('FRD Field Status'!$B$5:$B$401,$A26,'FRD Field Status'!$E$5:$E$401,"Built")</f>
        <v/>
      </c>
      <c r="C26" s="9">
        <f>COUNTIFS('FRD Field Status'!$B$5:$B$401,$A26,'FRD Field Status'!$E$5:$E$401,"Partially Built")</f>
        <v/>
      </c>
      <c r="D26" s="9">
        <f>COUNTIFS('FRD Field Status'!$B$5:$B$401,$A26,'FRD Field Status'!$E$5:$E$401,"Missing")</f>
        <v/>
      </c>
      <c r="E26" s="9">
        <f>COUNTIFS('FRD Field Status'!$B$5:$B$401,$A26,'FRD Field Status'!$E$5:$E$401,"Pending Client Decision")</f>
        <v/>
      </c>
      <c r="F26" s="10">
        <f>SUM(B26:E26)</f>
        <v/>
      </c>
      <c r="G26" s="11">
        <f>IF(F26=0,0,B26/F26)</f>
        <v/>
      </c>
    </row>
    <row r="27">
      <c r="A27" s="9" t="inlineStr">
        <is>
          <t>27. Configuration Change Approval Flow</t>
        </is>
      </c>
      <c r="B27" s="9">
        <f>COUNTIFS('FRD Field Status'!$B$5:$B$401,$A27,'FRD Field Status'!$E$5:$E$401,"Built")</f>
        <v/>
      </c>
      <c r="C27" s="9">
        <f>COUNTIFS('FRD Field Status'!$B$5:$B$401,$A27,'FRD Field Status'!$E$5:$E$401,"Partially Built")</f>
        <v/>
      </c>
      <c r="D27" s="9">
        <f>COUNTIFS('FRD Field Status'!$B$5:$B$401,$A27,'FRD Field Status'!$E$5:$E$401,"Missing")</f>
        <v/>
      </c>
      <c r="E27" s="9">
        <f>COUNTIFS('FRD Field Status'!$B$5:$B$401,$A27,'FRD Field Status'!$E$5:$E$401,"Pending Client Decision")</f>
        <v/>
      </c>
      <c r="F27" s="10">
        <f>SUM(B27:E27)</f>
        <v/>
      </c>
      <c r="G27" s="11">
        <f>IF(F27=0,0,B27/F27)</f>
        <v/>
      </c>
    </row>
    <row r="28">
      <c r="A28" s="9" t="inlineStr">
        <is>
          <t>29. Administrative Screens</t>
        </is>
      </c>
      <c r="B28" s="9">
        <f>COUNTIFS('FRD Field Status'!$B$5:$B$401,$A28,'FRD Field Status'!$E$5:$E$401,"Built")</f>
        <v/>
      </c>
      <c r="C28" s="9">
        <f>COUNTIFS('FRD Field Status'!$B$5:$B$401,$A28,'FRD Field Status'!$E$5:$E$401,"Partially Built")</f>
        <v/>
      </c>
      <c r="D28" s="9">
        <f>COUNTIFS('FRD Field Status'!$B$5:$B$401,$A28,'FRD Field Status'!$E$5:$E$401,"Missing")</f>
        <v/>
      </c>
      <c r="E28" s="9">
        <f>COUNTIFS('FRD Field Status'!$B$5:$B$401,$A28,'FRD Field Status'!$E$5:$E$401,"Pending Client Decision")</f>
        <v/>
      </c>
      <c r="F28" s="10">
        <f>SUM(B28:E28)</f>
        <v/>
      </c>
      <c r="G28" s="11">
        <f>IF(F28=0,0,B28/F28)</f>
        <v/>
      </c>
    </row>
    <row r="29">
      <c r="A29" s="9" t="inlineStr">
        <is>
          <t>30. Configurability Acceptance Criteria</t>
        </is>
      </c>
      <c r="B29" s="9">
        <f>COUNTIFS('FRD Field Status'!$B$5:$B$401,$A29,'FRD Field Status'!$E$5:$E$401,"Built")</f>
        <v/>
      </c>
      <c r="C29" s="9">
        <f>COUNTIFS('FRD Field Status'!$B$5:$B$401,$A29,'FRD Field Status'!$E$5:$E$401,"Partially Built")</f>
        <v/>
      </c>
      <c r="D29" s="9">
        <f>COUNTIFS('FRD Field Status'!$B$5:$B$401,$A29,'FRD Field Status'!$E$5:$E$401,"Missing")</f>
        <v/>
      </c>
      <c r="E29" s="9">
        <f>COUNTIFS('FRD Field Status'!$B$5:$B$401,$A29,'FRD Field Status'!$E$5:$E$401,"Pending Client Decision")</f>
        <v/>
      </c>
      <c r="F29" s="10">
        <f>SUM(B29:E29)</f>
        <v/>
      </c>
      <c r="G29" s="11">
        <f>IF(F29=0,0,B29/F29)</f>
        <v/>
      </c>
    </row>
    <row r="30">
      <c r="A30" s="12" t="inlineStr">
        <is>
          <t>TOTAL</t>
        </is>
      </c>
      <c r="B30" s="12">
        <f>SUM(B6:B29)</f>
        <v/>
      </c>
      <c r="C30" s="12">
        <f>SUM(C6:C29)</f>
        <v/>
      </c>
      <c r="D30" s="12">
        <f>SUM(D6:D29)</f>
        <v/>
      </c>
      <c r="E30" s="12">
        <f>SUM(E6:E29)</f>
        <v/>
      </c>
      <c r="F30" s="12">
        <f>SUM(F6:F29)</f>
        <v/>
      </c>
      <c r="G30" s="13">
        <f>IF(F30=0,0,B30/F30)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52" customWidth="1" min="4" max="4"/>
    <col width="20" customWidth="1" min="5" max="5"/>
    <col width="36" customWidth="1" min="6" max="6"/>
    <col width="60" customWidth="1" min="7" max="7"/>
  </cols>
  <sheetData>
    <row r="1">
      <c r="A1" s="14" t="inlineStr">
        <is>
          <t>FRD Field Status - every field / requirement in the FRD</t>
        </is>
      </c>
    </row>
    <row r="2">
      <c r="A2" s="2" t="inlineStr">
        <is>
          <t>Filter column E to see Missing or Partially Built items. Column G explains what exists or what is missing.</t>
        </is>
      </c>
    </row>
    <row r="4" ht="30" customHeight="1">
      <c r="A4" s="4" t="inlineStr">
        <is>
          <t>#</t>
        </is>
      </c>
      <c r="B4" s="4" t="inlineStr">
        <is>
          <t>FRD Section</t>
        </is>
      </c>
      <c r="C4" s="4" t="inlineStr">
        <is>
          <t>Group</t>
        </is>
      </c>
      <c r="D4" s="4" t="inlineStr">
        <is>
          <t>Field / Requirement (as in FRD)</t>
        </is>
      </c>
      <c r="E4" s="4" t="inlineStr">
        <is>
          <t>Build Status</t>
        </is>
      </c>
      <c r="F4" s="4" t="inlineStr">
        <is>
          <t>Where in System</t>
        </is>
      </c>
      <c r="G4" s="4" t="inlineStr">
        <is>
          <t>What Exists / Gap</t>
        </is>
      </c>
    </row>
    <row r="5">
      <c r="A5" s="15" t="n">
        <v>1</v>
      </c>
      <c r="B5" s="15" t="inlineStr">
        <is>
          <t>3. Employee Information</t>
        </is>
      </c>
      <c r="C5" s="15" t="inlineStr">
        <is>
          <t>Basic Identity</t>
        </is>
      </c>
      <c r="D5" s="15" t="inlineStr">
        <is>
          <t>Employee ID / Code</t>
        </is>
      </c>
      <c r="E5" s="15" t="inlineStr">
        <is>
          <t>Built</t>
        </is>
      </c>
      <c r="F5" s="15" t="inlineStr">
        <is>
          <t>HRMS &gt; Employees &gt; Employee profile (Job / Personal tab)</t>
        </is>
      </c>
      <c r="G5" s="15" t="inlineStr">
        <is>
          <t>Auto-numbered EMP-YYYY-NNN per company</t>
        </is>
      </c>
    </row>
    <row r="6">
      <c r="A6" s="15" t="n">
        <v>2</v>
      </c>
      <c r="B6" s="15" t="inlineStr">
        <is>
          <t>3. Employee Information</t>
        </is>
      </c>
      <c r="C6" s="15" t="inlineStr">
        <is>
          <t>Basic Identity</t>
        </is>
      </c>
      <c r="D6" s="15" t="inlineStr">
        <is>
          <t>First Name</t>
        </is>
      </c>
      <c r="E6" s="15" t="inlineStr">
        <is>
          <t>Built</t>
        </is>
      </c>
      <c r="F6" s="15" t="inlineStr">
        <is>
          <t>HRMS &gt; Employees &gt; Employee profile (Job / Personal tab)</t>
        </is>
      </c>
      <c r="G6" s="15" t="inlineStr"/>
    </row>
    <row r="7">
      <c r="A7" s="15" t="n">
        <v>3</v>
      </c>
      <c r="B7" s="15" t="inlineStr">
        <is>
          <t>3. Employee Information</t>
        </is>
      </c>
      <c r="C7" s="15" t="inlineStr">
        <is>
          <t>Basic Identity</t>
        </is>
      </c>
      <c r="D7" s="15" t="inlineStr">
        <is>
          <t>Middle Name</t>
        </is>
      </c>
      <c r="E7" s="15" t="inlineStr">
        <is>
          <t>Built</t>
        </is>
      </c>
      <c r="F7" s="15" t="inlineStr">
        <is>
          <t>HRMS &gt; Employees &gt; Employee profile (Job / Personal tab)</t>
        </is>
      </c>
      <c r="G7" s="15" t="inlineStr"/>
    </row>
    <row r="8">
      <c r="A8" s="15" t="n">
        <v>4</v>
      </c>
      <c r="B8" s="15" t="inlineStr">
        <is>
          <t>3. Employee Information</t>
        </is>
      </c>
      <c r="C8" s="15" t="inlineStr">
        <is>
          <t>Basic Identity</t>
        </is>
      </c>
      <c r="D8" s="15" t="inlineStr">
        <is>
          <t>Last Name</t>
        </is>
      </c>
      <c r="E8" s="15" t="inlineStr">
        <is>
          <t>Built</t>
        </is>
      </c>
      <c r="F8" s="15" t="inlineStr">
        <is>
          <t>HRMS &gt; Employees &gt; Employee profile (Job / Personal tab)</t>
        </is>
      </c>
      <c r="G8" s="15" t="inlineStr"/>
    </row>
    <row r="9">
      <c r="A9" s="15" t="n">
        <v>5</v>
      </c>
      <c r="B9" s="15" t="inlineStr">
        <is>
          <t>3. Employee Information</t>
        </is>
      </c>
      <c r="C9" s="15" t="inlineStr">
        <is>
          <t>Basic Identity</t>
        </is>
      </c>
      <c r="D9" s="15" t="inlineStr">
        <is>
          <t>Display Name</t>
        </is>
      </c>
      <c r="E9" s="15" t="inlineStr">
        <is>
          <t>Built</t>
        </is>
      </c>
      <c r="F9" s="15" t="inlineStr">
        <is>
          <t>HRMS &gt; Employees &gt; Employee profile (Job / Personal tab)</t>
        </is>
      </c>
      <c r="G9" s="15" t="inlineStr"/>
    </row>
    <row r="10">
      <c r="A10" s="15" t="n">
        <v>6</v>
      </c>
      <c r="B10" s="15" t="inlineStr">
        <is>
          <t>3. Employee Information</t>
        </is>
      </c>
      <c r="C10" s="15" t="inlineStr">
        <is>
          <t>Basic Identity</t>
        </is>
      </c>
      <c r="D10" s="15" t="inlineStr">
        <is>
          <t>Photograph</t>
        </is>
      </c>
      <c r="E10" s="15" t="inlineStr">
        <is>
          <t>Built</t>
        </is>
      </c>
      <c r="F10" s="15" t="inlineStr">
        <is>
          <t>HRMS &gt; Employees &gt; Employee profile header</t>
        </is>
      </c>
      <c r="G10" s="15" t="inlineStr">
        <is>
          <t>Photograph is a profile field with upload / replace / remove; falls back to the 'Photograph' document.</t>
        </is>
      </c>
    </row>
    <row r="11">
      <c r="A11" s="15" t="n">
        <v>7</v>
      </c>
      <c r="B11" s="15" t="inlineStr">
        <is>
          <t>3. Employee Information</t>
        </is>
      </c>
      <c r="C11" s="15" t="inlineStr">
        <is>
          <t>Personal</t>
        </is>
      </c>
      <c r="D11" s="15" t="inlineStr">
        <is>
          <t>Date of Birth</t>
        </is>
      </c>
      <c r="E11" s="15" t="inlineStr">
        <is>
          <t>Built</t>
        </is>
      </c>
      <c r="F11" s="15" t="inlineStr">
        <is>
          <t>HRMS &gt; Employees &gt; Employee profile &gt; Personal</t>
        </is>
      </c>
      <c r="G11" s="15" t="inlineStr"/>
    </row>
    <row r="12">
      <c r="A12" s="15" t="n">
        <v>8</v>
      </c>
      <c r="B12" s="15" t="inlineStr">
        <is>
          <t>3. Employee Information</t>
        </is>
      </c>
      <c r="C12" s="15" t="inlineStr">
        <is>
          <t>Personal</t>
        </is>
      </c>
      <c r="D12" s="15" t="inlineStr">
        <is>
          <t>Gender</t>
        </is>
      </c>
      <c r="E12" s="15" t="inlineStr">
        <is>
          <t>Built</t>
        </is>
      </c>
      <c r="F12" s="15" t="inlineStr">
        <is>
          <t>HRMS &gt; Employees &gt; Employee profile &gt; Personal</t>
        </is>
      </c>
      <c r="G12" s="15" t="inlineStr"/>
    </row>
    <row r="13">
      <c r="A13" s="15" t="n">
        <v>9</v>
      </c>
      <c r="B13" s="15" t="inlineStr">
        <is>
          <t>3. Employee Information</t>
        </is>
      </c>
      <c r="C13" s="15" t="inlineStr">
        <is>
          <t>Personal</t>
        </is>
      </c>
      <c r="D13" s="15" t="inlineStr">
        <is>
          <t>Marital Status</t>
        </is>
      </c>
      <c r="E13" s="15" t="inlineStr">
        <is>
          <t>Built</t>
        </is>
      </c>
      <c r="F13" s="15" t="inlineStr">
        <is>
          <t>HRMS &gt; Employees &gt; Employee profile &gt; Personal</t>
        </is>
      </c>
      <c r="G13" s="15" t="inlineStr"/>
    </row>
    <row r="14">
      <c r="A14" s="15" t="n">
        <v>10</v>
      </c>
      <c r="B14" s="15" t="inlineStr">
        <is>
          <t>3. Employee Information</t>
        </is>
      </c>
      <c r="C14" s="15" t="inlineStr">
        <is>
          <t>Personal</t>
        </is>
      </c>
      <c r="D14" s="15" t="inlineStr">
        <is>
          <t>Blood Group</t>
        </is>
      </c>
      <c r="E14" s="15" t="inlineStr">
        <is>
          <t>Built</t>
        </is>
      </c>
      <c r="F14" s="15" t="inlineStr">
        <is>
          <t>HRMS &gt; Employees &gt; Employee profile &gt; Personal</t>
        </is>
      </c>
      <c r="G14" s="15" t="inlineStr"/>
    </row>
    <row r="15">
      <c r="A15" s="15" t="n">
        <v>11</v>
      </c>
      <c r="B15" s="15" t="inlineStr">
        <is>
          <t>3. Employee Information</t>
        </is>
      </c>
      <c r="C15" s="15" t="inlineStr">
        <is>
          <t>Personal</t>
        </is>
      </c>
      <c r="D15" s="15" t="inlineStr">
        <is>
          <t>Nationality</t>
        </is>
      </c>
      <c r="E15" s="15" t="inlineStr">
        <is>
          <t>Built</t>
        </is>
      </c>
      <c r="F15" s="15" t="inlineStr">
        <is>
          <t>HRMS &gt; Employees &gt; Employee profile &gt; Personal</t>
        </is>
      </c>
      <c r="G15" s="15" t="inlineStr"/>
    </row>
    <row r="16">
      <c r="A16" s="15" t="n">
        <v>12</v>
      </c>
      <c r="B16" s="15" t="inlineStr">
        <is>
          <t>3. Employee Information</t>
        </is>
      </c>
      <c r="C16" s="15" t="inlineStr">
        <is>
          <t>Contact</t>
        </is>
      </c>
      <c r="D16" s="15" t="inlineStr">
        <is>
          <t>Personal Mobile</t>
        </is>
      </c>
      <c r="E16" s="15" t="inlineStr">
        <is>
          <t>Built</t>
        </is>
      </c>
      <c r="F16" s="15" t="inlineStr">
        <is>
          <t>HRMS &gt; Employees &gt; Employee profile &gt; Contact &amp; Address</t>
        </is>
      </c>
      <c r="G16" s="15" t="inlineStr">
        <is>
          <t>Format validated; duplicate check on email / mobile</t>
        </is>
      </c>
    </row>
    <row r="17">
      <c r="A17" s="15" t="n">
        <v>13</v>
      </c>
      <c r="B17" s="15" t="inlineStr">
        <is>
          <t>3. Employee Information</t>
        </is>
      </c>
      <c r="C17" s="15" t="inlineStr">
        <is>
          <t>Contact</t>
        </is>
      </c>
      <c r="D17" s="15" t="inlineStr">
        <is>
          <t>Official Mobile</t>
        </is>
      </c>
      <c r="E17" s="15" t="inlineStr">
        <is>
          <t>Built</t>
        </is>
      </c>
      <c r="F17" s="15" t="inlineStr">
        <is>
          <t>HRMS &gt; Employees &gt; Employee profile &gt; Contact &amp; Address</t>
        </is>
      </c>
      <c r="G17" s="15" t="inlineStr">
        <is>
          <t>Format validated; duplicate check on email / mobile</t>
        </is>
      </c>
    </row>
    <row r="18">
      <c r="A18" s="15" t="n">
        <v>14</v>
      </c>
      <c r="B18" s="15" t="inlineStr">
        <is>
          <t>3. Employee Information</t>
        </is>
      </c>
      <c r="C18" s="15" t="inlineStr">
        <is>
          <t>Contact</t>
        </is>
      </c>
      <c r="D18" s="15" t="inlineStr">
        <is>
          <t>Personal Email</t>
        </is>
      </c>
      <c r="E18" s="15" t="inlineStr">
        <is>
          <t>Built</t>
        </is>
      </c>
      <c r="F18" s="15" t="inlineStr">
        <is>
          <t>HRMS &gt; Employees &gt; Employee profile &gt; Contact &amp; Address</t>
        </is>
      </c>
      <c r="G18" s="15" t="inlineStr">
        <is>
          <t>Format validated; duplicate check on email / mobile</t>
        </is>
      </c>
    </row>
    <row r="19">
      <c r="A19" s="15" t="n">
        <v>15</v>
      </c>
      <c r="B19" s="15" t="inlineStr">
        <is>
          <t>3. Employee Information</t>
        </is>
      </c>
      <c r="C19" s="15" t="inlineStr">
        <is>
          <t>Contact</t>
        </is>
      </c>
      <c r="D19" s="15" t="inlineStr">
        <is>
          <t>Official Email</t>
        </is>
      </c>
      <c r="E19" s="15" t="inlineStr">
        <is>
          <t>Built</t>
        </is>
      </c>
      <c r="F19" s="15" t="inlineStr">
        <is>
          <t>HRMS &gt; Employees &gt; Employee profile &gt; Contact &amp; Address</t>
        </is>
      </c>
      <c r="G19" s="15" t="inlineStr">
        <is>
          <t>Format validated; duplicate check on email / mobile</t>
        </is>
      </c>
    </row>
    <row r="20">
      <c r="A20" s="15" t="n">
        <v>16</v>
      </c>
      <c r="B20" s="15" t="inlineStr">
        <is>
          <t>3. Employee Information</t>
        </is>
      </c>
      <c r="C20" s="15" t="inlineStr">
        <is>
          <t>Current Address</t>
        </is>
      </c>
      <c r="D20" s="15" t="inlineStr">
        <is>
          <t>Address Line 1</t>
        </is>
      </c>
      <c r="E20" s="15" t="inlineStr">
        <is>
          <t>Built</t>
        </is>
      </c>
      <c r="F20" s="15" t="inlineStr">
        <is>
          <t>HRMS &gt; Employees &gt; Employee profile &gt; Contact &amp; Address</t>
        </is>
      </c>
      <c r="G20" s="15" t="inlineStr">
        <is>
          <t>PIN validated as 6 digits for India</t>
        </is>
      </c>
    </row>
    <row r="21">
      <c r="A21" s="15" t="n">
        <v>17</v>
      </c>
      <c r="B21" s="15" t="inlineStr">
        <is>
          <t>3. Employee Information</t>
        </is>
      </c>
      <c r="C21" s="15" t="inlineStr">
        <is>
          <t>Current Address</t>
        </is>
      </c>
      <c r="D21" s="15" t="inlineStr">
        <is>
          <t>Address Line 2</t>
        </is>
      </c>
      <c r="E21" s="15" t="inlineStr">
        <is>
          <t>Built</t>
        </is>
      </c>
      <c r="F21" s="15" t="inlineStr">
        <is>
          <t>HRMS &gt; Employees &gt; Employee profile &gt; Contact &amp; Address</t>
        </is>
      </c>
      <c r="G21" s="15" t="inlineStr">
        <is>
          <t>PIN validated as 6 digits for India</t>
        </is>
      </c>
    </row>
    <row r="22">
      <c r="A22" s="15" t="n">
        <v>18</v>
      </c>
      <c r="B22" s="15" t="inlineStr">
        <is>
          <t>3. Employee Information</t>
        </is>
      </c>
      <c r="C22" s="15" t="inlineStr">
        <is>
          <t>Current Address</t>
        </is>
      </c>
      <c r="D22" s="15" t="inlineStr">
        <is>
          <t>City</t>
        </is>
      </c>
      <c r="E22" s="15" t="inlineStr">
        <is>
          <t>Built</t>
        </is>
      </c>
      <c r="F22" s="15" t="inlineStr">
        <is>
          <t>HRMS &gt; Employees &gt; Employee profile &gt; Contact &amp; Address</t>
        </is>
      </c>
      <c r="G22" s="15" t="inlineStr">
        <is>
          <t>PIN validated as 6 digits for India</t>
        </is>
      </c>
    </row>
    <row r="23">
      <c r="A23" s="15" t="n">
        <v>19</v>
      </c>
      <c r="B23" s="15" t="inlineStr">
        <is>
          <t>3. Employee Information</t>
        </is>
      </c>
      <c r="C23" s="15" t="inlineStr">
        <is>
          <t>Current Address</t>
        </is>
      </c>
      <c r="D23" s="15" t="inlineStr">
        <is>
          <t>District</t>
        </is>
      </c>
      <c r="E23" s="15" t="inlineStr">
        <is>
          <t>Built</t>
        </is>
      </c>
      <c r="F23" s="15" t="inlineStr">
        <is>
          <t>HRMS &gt; Employees &gt; Employee profile &gt; Contact &amp; Address</t>
        </is>
      </c>
      <c r="G23" s="15" t="inlineStr">
        <is>
          <t>PIN validated as 6 digits for India</t>
        </is>
      </c>
    </row>
    <row r="24">
      <c r="A24" s="15" t="n">
        <v>20</v>
      </c>
      <c r="B24" s="15" t="inlineStr">
        <is>
          <t>3. Employee Information</t>
        </is>
      </c>
      <c r="C24" s="15" t="inlineStr">
        <is>
          <t>Current Address</t>
        </is>
      </c>
      <c r="D24" s="15" t="inlineStr">
        <is>
          <t>State</t>
        </is>
      </c>
      <c r="E24" s="15" t="inlineStr">
        <is>
          <t>Built</t>
        </is>
      </c>
      <c r="F24" s="15" t="inlineStr">
        <is>
          <t>HRMS &gt; Employees &gt; Employee profile &gt; Contact &amp; Address</t>
        </is>
      </c>
      <c r="G24" s="15" t="inlineStr">
        <is>
          <t>PIN validated as 6 digits for India</t>
        </is>
      </c>
    </row>
    <row r="25">
      <c r="A25" s="15" t="n">
        <v>21</v>
      </c>
      <c r="B25" s="15" t="inlineStr">
        <is>
          <t>3. Employee Information</t>
        </is>
      </c>
      <c r="C25" s="15" t="inlineStr">
        <is>
          <t>Current Address</t>
        </is>
      </c>
      <c r="D25" s="15" t="inlineStr">
        <is>
          <t>PIN Code</t>
        </is>
      </c>
      <c r="E25" s="15" t="inlineStr">
        <is>
          <t>Built</t>
        </is>
      </c>
      <c r="F25" s="15" t="inlineStr">
        <is>
          <t>HRMS &gt; Employees &gt; Employee profile &gt; Contact &amp; Address</t>
        </is>
      </c>
      <c r="G25" s="15" t="inlineStr">
        <is>
          <t>PIN validated as 6 digits for India</t>
        </is>
      </c>
    </row>
    <row r="26">
      <c r="A26" s="15" t="n">
        <v>22</v>
      </c>
      <c r="B26" s="15" t="inlineStr">
        <is>
          <t>3. Employee Information</t>
        </is>
      </c>
      <c r="C26" s="15" t="inlineStr">
        <is>
          <t>Current Address</t>
        </is>
      </c>
      <c r="D26" s="15" t="inlineStr">
        <is>
          <t>Country</t>
        </is>
      </c>
      <c r="E26" s="15" t="inlineStr">
        <is>
          <t>Built</t>
        </is>
      </c>
      <c r="F26" s="15" t="inlineStr">
        <is>
          <t>HRMS &gt; Employees &gt; Employee profile &gt; Contact &amp; Address</t>
        </is>
      </c>
      <c r="G26" s="15" t="inlineStr">
        <is>
          <t>PIN validated as 6 digits for India</t>
        </is>
      </c>
    </row>
    <row r="27">
      <c r="A27" s="15" t="n">
        <v>23</v>
      </c>
      <c r="B27" s="15" t="inlineStr">
        <is>
          <t>3. Employee Information</t>
        </is>
      </c>
      <c r="C27" s="15" t="inlineStr">
        <is>
          <t>Permanent Address</t>
        </is>
      </c>
      <c r="D27" s="15" t="inlineStr">
        <is>
          <t>Address Line 1</t>
        </is>
      </c>
      <c r="E27" s="15" t="inlineStr">
        <is>
          <t>Built</t>
        </is>
      </c>
      <c r="F27" s="15" t="inlineStr">
        <is>
          <t>HRMS &gt; Employees &gt; Employee profile &gt; Contact &amp; Address</t>
        </is>
      </c>
      <c r="G27" s="15" t="inlineStr"/>
    </row>
    <row r="28">
      <c r="A28" s="15" t="n">
        <v>24</v>
      </c>
      <c r="B28" s="15" t="inlineStr">
        <is>
          <t>3. Employee Information</t>
        </is>
      </c>
      <c r="C28" s="15" t="inlineStr">
        <is>
          <t>Permanent Address</t>
        </is>
      </c>
      <c r="D28" s="15" t="inlineStr">
        <is>
          <t>Address Line 2</t>
        </is>
      </c>
      <c r="E28" s="15" t="inlineStr">
        <is>
          <t>Built</t>
        </is>
      </c>
      <c r="F28" s="15" t="inlineStr">
        <is>
          <t>HRMS &gt; Employees &gt; Employee profile &gt; Contact &amp; Address</t>
        </is>
      </c>
      <c r="G28" s="15" t="inlineStr"/>
    </row>
    <row r="29">
      <c r="A29" s="15" t="n">
        <v>25</v>
      </c>
      <c r="B29" s="15" t="inlineStr">
        <is>
          <t>3. Employee Information</t>
        </is>
      </c>
      <c r="C29" s="15" t="inlineStr">
        <is>
          <t>Permanent Address</t>
        </is>
      </c>
      <c r="D29" s="15" t="inlineStr">
        <is>
          <t>City</t>
        </is>
      </c>
      <c r="E29" s="15" t="inlineStr">
        <is>
          <t>Built</t>
        </is>
      </c>
      <c r="F29" s="15" t="inlineStr">
        <is>
          <t>HRMS &gt; Employees &gt; Employee profile &gt; Contact &amp; Address</t>
        </is>
      </c>
      <c r="G29" s="15" t="inlineStr"/>
    </row>
    <row r="30">
      <c r="A30" s="15" t="n">
        <v>26</v>
      </c>
      <c r="B30" s="15" t="inlineStr">
        <is>
          <t>3. Employee Information</t>
        </is>
      </c>
      <c r="C30" s="15" t="inlineStr">
        <is>
          <t>Permanent Address</t>
        </is>
      </c>
      <c r="D30" s="15" t="inlineStr">
        <is>
          <t>District</t>
        </is>
      </c>
      <c r="E30" s="15" t="inlineStr">
        <is>
          <t>Built</t>
        </is>
      </c>
      <c r="F30" s="15" t="inlineStr">
        <is>
          <t>HRMS &gt; Employees &gt; Employee profile &gt; Contact &amp; Address</t>
        </is>
      </c>
      <c r="G30" s="15" t="inlineStr"/>
    </row>
    <row r="31">
      <c r="A31" s="15" t="n">
        <v>27</v>
      </c>
      <c r="B31" s="15" t="inlineStr">
        <is>
          <t>3. Employee Information</t>
        </is>
      </c>
      <c r="C31" s="15" t="inlineStr">
        <is>
          <t>Permanent Address</t>
        </is>
      </c>
      <c r="D31" s="15" t="inlineStr">
        <is>
          <t>State</t>
        </is>
      </c>
      <c r="E31" s="15" t="inlineStr">
        <is>
          <t>Built</t>
        </is>
      </c>
      <c r="F31" s="15" t="inlineStr">
        <is>
          <t>HRMS &gt; Employees &gt; Employee profile &gt; Contact &amp; Address</t>
        </is>
      </c>
      <c r="G31" s="15" t="inlineStr"/>
    </row>
    <row r="32">
      <c r="A32" s="15" t="n">
        <v>28</v>
      </c>
      <c r="B32" s="15" t="inlineStr">
        <is>
          <t>3. Employee Information</t>
        </is>
      </c>
      <c r="C32" s="15" t="inlineStr">
        <is>
          <t>Permanent Address</t>
        </is>
      </c>
      <c r="D32" s="15" t="inlineStr">
        <is>
          <t>PIN Code</t>
        </is>
      </c>
      <c r="E32" s="15" t="inlineStr">
        <is>
          <t>Built</t>
        </is>
      </c>
      <c r="F32" s="15" t="inlineStr">
        <is>
          <t>HRMS &gt; Employees &gt; Employee profile &gt; Contact &amp; Address</t>
        </is>
      </c>
      <c r="G32" s="15" t="inlineStr"/>
    </row>
    <row r="33">
      <c r="A33" s="15" t="n">
        <v>29</v>
      </c>
      <c r="B33" s="15" t="inlineStr">
        <is>
          <t>3. Employee Information</t>
        </is>
      </c>
      <c r="C33" s="15" t="inlineStr">
        <is>
          <t>Permanent Address</t>
        </is>
      </c>
      <c r="D33" s="15" t="inlineStr">
        <is>
          <t>Country</t>
        </is>
      </c>
      <c r="E33" s="15" t="inlineStr">
        <is>
          <t>Built</t>
        </is>
      </c>
      <c r="F33" s="15" t="inlineStr">
        <is>
          <t>HRMS &gt; Employees &gt; Employee profile &gt; Contact &amp; Address</t>
        </is>
      </c>
      <c r="G33" s="15" t="inlineStr"/>
    </row>
    <row r="34">
      <c r="A34" s="15" t="n">
        <v>30</v>
      </c>
      <c r="B34" s="15" t="inlineStr">
        <is>
          <t>3. Employee Information</t>
        </is>
      </c>
      <c r="C34" s="15" t="inlineStr">
        <is>
          <t>Permanent Address</t>
        </is>
      </c>
      <c r="D34" s="15" t="inlineStr">
        <is>
          <t>Same-as-current flag</t>
        </is>
      </c>
      <c r="E34" s="15" t="inlineStr">
        <is>
          <t>Built</t>
        </is>
      </c>
      <c r="F34" s="15" t="inlineStr">
        <is>
          <t>HRMS &gt; Employees &gt; Employee profile &gt; Contact &amp; Address</t>
        </is>
      </c>
      <c r="G34" s="15" t="inlineStr"/>
    </row>
    <row r="35">
      <c r="A35" s="15" t="n">
        <v>31</v>
      </c>
      <c r="B35" s="15" t="inlineStr">
        <is>
          <t>3. Employee Information</t>
        </is>
      </c>
      <c r="C35" s="15" t="inlineStr">
        <is>
          <t>Emergency Contact</t>
        </is>
      </c>
      <c r="D35" s="15" t="inlineStr">
        <is>
          <t>Contact Name</t>
        </is>
      </c>
      <c r="E35" s="15" t="inlineStr">
        <is>
          <t>Built</t>
        </is>
      </c>
      <c r="F35" s="15" t="inlineStr">
        <is>
          <t>HRMS &gt; Employees &gt; Employee profile &gt; Contact &amp; Address</t>
        </is>
      </c>
      <c r="G35" s="15" t="inlineStr"/>
    </row>
    <row r="36">
      <c r="A36" s="15" t="n">
        <v>32</v>
      </c>
      <c r="B36" s="15" t="inlineStr">
        <is>
          <t>3. Employee Information</t>
        </is>
      </c>
      <c r="C36" s="15" t="inlineStr">
        <is>
          <t>Emergency Contact</t>
        </is>
      </c>
      <c r="D36" s="15" t="inlineStr">
        <is>
          <t>Relationship</t>
        </is>
      </c>
      <c r="E36" s="15" t="inlineStr">
        <is>
          <t>Built</t>
        </is>
      </c>
      <c r="F36" s="15" t="inlineStr">
        <is>
          <t>HRMS &gt; Employees &gt; Employee profile &gt; Contact &amp; Address</t>
        </is>
      </c>
      <c r="G36" s="15" t="inlineStr"/>
    </row>
    <row r="37">
      <c r="A37" s="15" t="n">
        <v>33</v>
      </c>
      <c r="B37" s="15" t="inlineStr">
        <is>
          <t>3. Employee Information</t>
        </is>
      </c>
      <c r="C37" s="15" t="inlineStr">
        <is>
          <t>Emergency Contact</t>
        </is>
      </c>
      <c r="D37" s="15" t="inlineStr">
        <is>
          <t>Mobile</t>
        </is>
      </c>
      <c r="E37" s="15" t="inlineStr">
        <is>
          <t>Built</t>
        </is>
      </c>
      <c r="F37" s="15" t="inlineStr">
        <is>
          <t>HRMS &gt; Employees &gt; Employee profile &gt; Contact &amp; Address</t>
        </is>
      </c>
      <c r="G37" s="15" t="inlineStr"/>
    </row>
    <row r="38">
      <c r="A38" s="15" t="n">
        <v>34</v>
      </c>
      <c r="B38" s="15" t="inlineStr">
        <is>
          <t>3. Employee Information</t>
        </is>
      </c>
      <c r="C38" s="15" t="inlineStr">
        <is>
          <t>Emergency Contact</t>
        </is>
      </c>
      <c r="D38" s="15" t="inlineStr">
        <is>
          <t>Alternate Number</t>
        </is>
      </c>
      <c r="E38" s="15" t="inlineStr">
        <is>
          <t>Built</t>
        </is>
      </c>
      <c r="F38" s="15" t="inlineStr">
        <is>
          <t>HRMS &gt; Employees &gt; Employee profile &gt; Contact &amp; Address</t>
        </is>
      </c>
      <c r="G38" s="15" t="inlineStr"/>
    </row>
    <row r="39">
      <c r="A39" s="15" t="n">
        <v>35</v>
      </c>
      <c r="B39" s="15" t="inlineStr">
        <is>
          <t>3. Employee Information</t>
        </is>
      </c>
      <c r="C39" s="15" t="inlineStr">
        <is>
          <t>Employment</t>
        </is>
      </c>
      <c r="D39" s="15" t="inlineStr">
        <is>
          <t>Date of Joining</t>
        </is>
      </c>
      <c r="E39" s="15" t="inlineStr">
        <is>
          <t>Built</t>
        </is>
      </c>
      <c r="F39" s="15" t="inlineStr">
        <is>
          <t>HRMS &gt; Employees &gt; Employee profile &gt; Job &amp; Organisation</t>
        </is>
      </c>
      <c r="G39" s="15" t="inlineStr"/>
    </row>
    <row r="40">
      <c r="A40" s="15" t="n">
        <v>36</v>
      </c>
      <c r="B40" s="15" t="inlineStr">
        <is>
          <t>3. Employee Information</t>
        </is>
      </c>
      <c r="C40" s="15" t="inlineStr">
        <is>
          <t>Employment</t>
        </is>
      </c>
      <c r="D40" s="15" t="inlineStr">
        <is>
          <t>Employee Category</t>
        </is>
      </c>
      <c r="E40" s="15" t="inlineStr">
        <is>
          <t>Built</t>
        </is>
      </c>
      <c r="F40" s="15" t="inlineStr">
        <is>
          <t>HRMS &gt; Employees &gt; Employee profile &gt; Job &amp; Organisation</t>
        </is>
      </c>
      <c r="G40" s="15" t="inlineStr"/>
    </row>
    <row r="41">
      <c r="A41" s="15" t="n">
        <v>37</v>
      </c>
      <c r="B41" s="15" t="inlineStr">
        <is>
          <t>3. Employee Information</t>
        </is>
      </c>
      <c r="C41" s="15" t="inlineStr">
        <is>
          <t>Employment</t>
        </is>
      </c>
      <c r="D41" s="15" t="inlineStr">
        <is>
          <t>Employment Status</t>
        </is>
      </c>
      <c r="E41" s="15" t="inlineStr">
        <is>
          <t>Built</t>
        </is>
      </c>
      <c r="F41" s="15" t="inlineStr">
        <is>
          <t>HRMS &gt; Employees &gt; Employee profile &gt; Job &amp; Organisation</t>
        </is>
      </c>
      <c r="G41" s="15" t="inlineStr"/>
    </row>
    <row r="42">
      <c r="A42" s="15" t="n">
        <v>38</v>
      </c>
      <c r="B42" s="15" t="inlineStr">
        <is>
          <t>3. Employee Information</t>
        </is>
      </c>
      <c r="C42" s="15" t="inlineStr">
        <is>
          <t>Employment</t>
        </is>
      </c>
      <c r="D42" s="15" t="inlineStr">
        <is>
          <t>Probation Start</t>
        </is>
      </c>
      <c r="E42" s="15" t="inlineStr">
        <is>
          <t>Built</t>
        </is>
      </c>
      <c r="F42" s="15" t="inlineStr">
        <is>
          <t>HRMS &gt; Employees &gt; Employee profile &gt; Job &amp; Organisation</t>
        </is>
      </c>
      <c r="G42" s="15" t="inlineStr"/>
    </row>
    <row r="43">
      <c r="A43" s="15" t="n">
        <v>39</v>
      </c>
      <c r="B43" s="15" t="inlineStr">
        <is>
          <t>3. Employee Information</t>
        </is>
      </c>
      <c r="C43" s="15" t="inlineStr">
        <is>
          <t>Employment</t>
        </is>
      </c>
      <c r="D43" s="15" t="inlineStr">
        <is>
          <t>Probation End</t>
        </is>
      </c>
      <c r="E43" s="15" t="inlineStr">
        <is>
          <t>Built</t>
        </is>
      </c>
      <c r="F43" s="15" t="inlineStr">
        <is>
          <t>HRMS &gt; Employees &gt; Employee profile &gt; Job &amp; Organisation</t>
        </is>
      </c>
      <c r="G43" s="15" t="inlineStr"/>
    </row>
    <row r="44">
      <c r="A44" s="15" t="n">
        <v>40</v>
      </c>
      <c r="B44" s="15" t="inlineStr">
        <is>
          <t>3. Employee Information</t>
        </is>
      </c>
      <c r="C44" s="15" t="inlineStr">
        <is>
          <t>Employment</t>
        </is>
      </c>
      <c r="D44" s="15" t="inlineStr">
        <is>
          <t>Confirmation Date</t>
        </is>
      </c>
      <c r="E44" s="15" t="inlineStr">
        <is>
          <t>Built</t>
        </is>
      </c>
      <c r="F44" s="15" t="inlineStr">
        <is>
          <t>HRMS &gt; Employees &gt; Employee profile &gt; Job &amp; Organisation</t>
        </is>
      </c>
      <c r="G44" s="15" t="inlineStr"/>
    </row>
    <row r="45">
      <c r="A45" s="15" t="n">
        <v>41</v>
      </c>
      <c r="B45" s="15" t="inlineStr">
        <is>
          <t>3. Employee Information</t>
        </is>
      </c>
      <c r="C45" s="15" t="inlineStr">
        <is>
          <t>Organisation</t>
        </is>
      </c>
      <c r="D45" s="15" t="inlineStr">
        <is>
          <t>Company / Legal Entity</t>
        </is>
      </c>
      <c r="E45" s="15" t="inlineStr">
        <is>
          <t>Built</t>
        </is>
      </c>
      <c r="F45" s="15" t="inlineStr">
        <is>
          <t>HRMS &gt; Employees &gt; Employee profile &gt; Job &amp; Organisation</t>
        </is>
      </c>
      <c r="G45" s="15" t="inlineStr">
        <is>
          <t>Dropdown values maintained in Employee Master Setup</t>
        </is>
      </c>
    </row>
    <row r="46">
      <c r="A46" s="15" t="n">
        <v>42</v>
      </c>
      <c r="B46" s="15" t="inlineStr">
        <is>
          <t>3. Employee Information</t>
        </is>
      </c>
      <c r="C46" s="15" t="inlineStr">
        <is>
          <t>Organisation</t>
        </is>
      </c>
      <c r="D46" s="15" t="inlineStr">
        <is>
          <t>Business Unit / Branch</t>
        </is>
      </c>
      <c r="E46" s="15" t="inlineStr">
        <is>
          <t>Built</t>
        </is>
      </c>
      <c r="F46" s="15" t="inlineStr">
        <is>
          <t>HRMS &gt; Employees &gt; Employee profile &gt; Job &amp; Organisation</t>
        </is>
      </c>
      <c r="G46" s="15" t="inlineStr">
        <is>
          <t>Dropdown values maintained in Employee Master Setup</t>
        </is>
      </c>
    </row>
    <row r="47">
      <c r="A47" s="15" t="n">
        <v>43</v>
      </c>
      <c r="B47" s="15" t="inlineStr">
        <is>
          <t>3. Employee Information</t>
        </is>
      </c>
      <c r="C47" s="15" t="inlineStr">
        <is>
          <t>Organisation</t>
        </is>
      </c>
      <c r="D47" s="15" t="inlineStr">
        <is>
          <t>Location</t>
        </is>
      </c>
      <c r="E47" s="15" t="inlineStr">
        <is>
          <t>Built</t>
        </is>
      </c>
      <c r="F47" s="15" t="inlineStr">
        <is>
          <t>HRMS &gt; Employees &gt; Employee profile &gt; Job &amp; Organisation</t>
        </is>
      </c>
      <c r="G47" s="15" t="inlineStr">
        <is>
          <t>Dropdown values maintained in Employee Master Setup</t>
        </is>
      </c>
    </row>
    <row r="48">
      <c r="A48" s="15" t="n">
        <v>44</v>
      </c>
      <c r="B48" s="15" t="inlineStr">
        <is>
          <t>3. Employee Information</t>
        </is>
      </c>
      <c r="C48" s="15" t="inlineStr">
        <is>
          <t>Organisation</t>
        </is>
      </c>
      <c r="D48" s="15" t="inlineStr">
        <is>
          <t>Department</t>
        </is>
      </c>
      <c r="E48" s="15" t="inlineStr">
        <is>
          <t>Built</t>
        </is>
      </c>
      <c r="F48" s="15" t="inlineStr">
        <is>
          <t>HRMS &gt; Employees &gt; Employee profile &gt; Job &amp; Organisation</t>
        </is>
      </c>
      <c r="G48" s="15" t="inlineStr">
        <is>
          <t>Dropdown values maintained in Employee Master Setup</t>
        </is>
      </c>
    </row>
    <row r="49">
      <c r="A49" s="15" t="n">
        <v>45</v>
      </c>
      <c r="B49" s="15" t="inlineStr">
        <is>
          <t>3. Employee Information</t>
        </is>
      </c>
      <c r="C49" s="15" t="inlineStr">
        <is>
          <t>Organisation</t>
        </is>
      </c>
      <c r="D49" s="15" t="inlineStr">
        <is>
          <t>Sub-department (if used)</t>
        </is>
      </c>
      <c r="E49" s="15" t="inlineStr">
        <is>
          <t>Built</t>
        </is>
      </c>
      <c r="F49" s="15" t="inlineStr">
        <is>
          <t>HRMS &gt; Employees &gt; Employee profile &gt; Job &amp; Organisation</t>
        </is>
      </c>
      <c r="G49" s="15" t="inlineStr">
        <is>
          <t>Dropdown values maintained in Employee Master Setup</t>
        </is>
      </c>
    </row>
    <row r="50">
      <c r="A50" s="15" t="n">
        <v>46</v>
      </c>
      <c r="B50" s="15" t="inlineStr">
        <is>
          <t>3. Employee Information</t>
        </is>
      </c>
      <c r="C50" s="15" t="inlineStr">
        <is>
          <t>Job</t>
        </is>
      </c>
      <c r="D50" s="15" t="inlineStr">
        <is>
          <t>Designation</t>
        </is>
      </c>
      <c r="E50" s="15" t="inlineStr">
        <is>
          <t>Built</t>
        </is>
      </c>
      <c r="F50" s="15" t="inlineStr">
        <is>
          <t>HRMS &gt; Employees &gt; Employee profile &gt; Job &amp; Organisation</t>
        </is>
      </c>
      <c r="G50" s="15" t="inlineStr"/>
    </row>
    <row r="51">
      <c r="A51" s="15" t="n">
        <v>47</v>
      </c>
      <c r="B51" s="15" t="inlineStr">
        <is>
          <t>3. Employee Information</t>
        </is>
      </c>
      <c r="C51" s="15" t="inlineStr">
        <is>
          <t>Job</t>
        </is>
      </c>
      <c r="D51" s="15" t="inlineStr">
        <is>
          <t>Grade</t>
        </is>
      </c>
      <c r="E51" s="15" t="inlineStr">
        <is>
          <t>Built</t>
        </is>
      </c>
      <c r="F51" s="15" t="inlineStr">
        <is>
          <t>HRMS &gt; Employees &gt; Employee profile &gt; Job &amp; Organisation</t>
        </is>
      </c>
      <c r="G51" s="15" t="inlineStr"/>
    </row>
    <row r="52">
      <c r="A52" s="15" t="n">
        <v>48</v>
      </c>
      <c r="B52" s="15" t="inlineStr">
        <is>
          <t>3. Employee Information</t>
        </is>
      </c>
      <c r="C52" s="15" t="inlineStr">
        <is>
          <t>Job</t>
        </is>
      </c>
      <c r="D52" s="15" t="inlineStr">
        <is>
          <t>Level</t>
        </is>
      </c>
      <c r="E52" s="15" t="inlineStr">
        <is>
          <t>Built</t>
        </is>
      </c>
      <c r="F52" s="15" t="inlineStr">
        <is>
          <t>HRMS &gt; Employees &gt; Employee profile &gt; Job &amp; Organisation</t>
        </is>
      </c>
      <c r="G52" s="15" t="inlineStr"/>
    </row>
    <row r="53">
      <c r="A53" s="15" t="n">
        <v>49</v>
      </c>
      <c r="B53" s="15" t="inlineStr">
        <is>
          <t>3. Employee Information</t>
        </is>
      </c>
      <c r="C53" s="15" t="inlineStr">
        <is>
          <t>Job</t>
        </is>
      </c>
      <c r="D53" s="15" t="inlineStr">
        <is>
          <t>Job Title</t>
        </is>
      </c>
      <c r="E53" s="15" t="inlineStr">
        <is>
          <t>Built</t>
        </is>
      </c>
      <c r="F53" s="15" t="inlineStr">
        <is>
          <t>HRMS &gt; Employees &gt; Employee profile &gt; Job &amp; Organisation</t>
        </is>
      </c>
      <c r="G53" s="15" t="inlineStr"/>
    </row>
    <row r="54">
      <c r="A54" s="15" t="n">
        <v>50</v>
      </c>
      <c r="B54" s="15" t="inlineStr">
        <is>
          <t>3. Employee Information</t>
        </is>
      </c>
      <c r="C54" s="15" t="inlineStr">
        <is>
          <t>Job</t>
        </is>
      </c>
      <c r="D54" s="15" t="inlineStr">
        <is>
          <t>Cost Centre</t>
        </is>
      </c>
      <c r="E54" s="15" t="inlineStr">
        <is>
          <t>Built</t>
        </is>
      </c>
      <c r="F54" s="15" t="inlineStr">
        <is>
          <t>HRMS &gt; Employees &gt; Employee profile &gt; Job &amp; Organisation</t>
        </is>
      </c>
      <c r="G54" s="15" t="inlineStr"/>
    </row>
    <row r="55">
      <c r="A55" s="15" t="n">
        <v>51</v>
      </c>
      <c r="B55" s="15" t="inlineStr">
        <is>
          <t>3. Employee Information</t>
        </is>
      </c>
      <c r="C55" s="15" t="inlineStr">
        <is>
          <t>Reporting</t>
        </is>
      </c>
      <c r="D55" s="15" t="inlineStr">
        <is>
          <t>Reporting Manager Employee ID</t>
        </is>
      </c>
      <c r="E55" s="15" t="inlineStr">
        <is>
          <t>Built</t>
        </is>
      </c>
      <c r="F55" s="15" t="inlineStr">
        <is>
          <t>HRMS &gt; Employees &gt; Employee profile &gt; Reporting</t>
        </is>
      </c>
      <c r="G55" s="15" t="inlineStr">
        <is>
          <t>Effective-dated; history kept</t>
        </is>
      </c>
    </row>
    <row r="56">
      <c r="A56" s="15" t="n">
        <v>52</v>
      </c>
      <c r="B56" s="15" t="inlineStr">
        <is>
          <t>3. Employee Information</t>
        </is>
      </c>
      <c r="C56" s="15" t="inlineStr">
        <is>
          <t>Reporting</t>
        </is>
      </c>
      <c r="D56" s="15" t="inlineStr">
        <is>
          <t>Reporting Manager Name</t>
        </is>
      </c>
      <c r="E56" s="15" t="inlineStr">
        <is>
          <t>Built</t>
        </is>
      </c>
      <c r="F56" s="15" t="inlineStr">
        <is>
          <t>HRMS &gt; Employees &gt; Employee profile &gt; Reporting</t>
        </is>
      </c>
      <c r="G56" s="15" t="inlineStr">
        <is>
          <t>Effective-dated; history kept</t>
        </is>
      </c>
    </row>
    <row r="57">
      <c r="A57" s="15" t="n">
        <v>53</v>
      </c>
      <c r="B57" s="15" t="inlineStr">
        <is>
          <t>3. Employee Information</t>
        </is>
      </c>
      <c r="C57" s="15" t="inlineStr">
        <is>
          <t>Reporting</t>
        </is>
      </c>
      <c r="D57" s="15" t="inlineStr">
        <is>
          <t>Functional Manager (if applicable)</t>
        </is>
      </c>
      <c r="E57" s="15" t="inlineStr">
        <is>
          <t>Built</t>
        </is>
      </c>
      <c r="F57" s="15" t="inlineStr">
        <is>
          <t>HRMS &gt; Employees &gt; Employee profile &gt; Reporting</t>
        </is>
      </c>
      <c r="G57" s="15" t="inlineStr">
        <is>
          <t>Effective-dated; history kept</t>
        </is>
      </c>
    </row>
    <row r="58">
      <c r="A58" s="15" t="n">
        <v>54</v>
      </c>
      <c r="B58" s="15" t="inlineStr">
        <is>
          <t>3. Employee Information</t>
        </is>
      </c>
      <c r="C58" s="15" t="inlineStr">
        <is>
          <t>Work Configuration</t>
        </is>
      </c>
      <c r="D58" s="15" t="inlineStr">
        <is>
          <t>Work Location</t>
        </is>
      </c>
      <c r="E58" s="15" t="inlineStr">
        <is>
          <t>Built</t>
        </is>
      </c>
      <c r="F58" s="15" t="inlineStr">
        <is>
          <t>HRMS &gt; Employees &gt; Employee profile &gt; Work Setup</t>
        </is>
      </c>
      <c r="G58" s="15" t="inlineStr"/>
    </row>
    <row r="59">
      <c r="A59" s="15" t="n">
        <v>55</v>
      </c>
      <c r="B59" s="15" t="inlineStr">
        <is>
          <t>3. Employee Information</t>
        </is>
      </c>
      <c r="C59" s="15" t="inlineStr">
        <is>
          <t>Work Configuration</t>
        </is>
      </c>
      <c r="D59" s="15" t="inlineStr">
        <is>
          <t>Shift / Timing Group</t>
        </is>
      </c>
      <c r="E59" s="15" t="inlineStr">
        <is>
          <t>Built</t>
        </is>
      </c>
      <c r="F59" s="15" t="inlineStr">
        <is>
          <t>HRMS &gt; Employees &gt; Employee profile &gt; Work Setup</t>
        </is>
      </c>
      <c r="G59" s="15" t="inlineStr"/>
    </row>
    <row r="60">
      <c r="A60" s="15" t="n">
        <v>56</v>
      </c>
      <c r="B60" s="15" t="inlineStr">
        <is>
          <t>3. Employee Information</t>
        </is>
      </c>
      <c r="C60" s="15" t="inlineStr">
        <is>
          <t>Work Configuration</t>
        </is>
      </c>
      <c r="D60" s="15" t="inlineStr">
        <is>
          <t>Attendance Policy Group</t>
        </is>
      </c>
      <c r="E60" s="15" t="inlineStr">
        <is>
          <t>Built</t>
        </is>
      </c>
      <c r="F60" s="15" t="inlineStr">
        <is>
          <t>HRMS &gt; Employees &gt; Employee profile &gt; Work Setup</t>
        </is>
      </c>
      <c r="G60" s="15" t="inlineStr"/>
    </row>
    <row r="61">
      <c r="A61" s="15" t="n">
        <v>57</v>
      </c>
      <c r="B61" s="15" t="inlineStr">
        <is>
          <t>3. Employee Information</t>
        </is>
      </c>
      <c r="C61" s="15" t="inlineStr">
        <is>
          <t>Work Configuration</t>
        </is>
      </c>
      <c r="D61" s="15" t="inlineStr">
        <is>
          <t>Weekly-Off Pattern</t>
        </is>
      </c>
      <c r="E61" s="15" t="inlineStr">
        <is>
          <t>Built</t>
        </is>
      </c>
      <c r="F61" s="15" t="inlineStr">
        <is>
          <t>HRMS &gt; Employees &gt; Employee profile &gt; Work Setup</t>
        </is>
      </c>
      <c r="G61" s="15" t="inlineStr"/>
    </row>
    <row r="62">
      <c r="A62" s="15" t="n">
        <v>58</v>
      </c>
      <c r="B62" s="15" t="inlineStr">
        <is>
          <t>3. Employee Information</t>
        </is>
      </c>
      <c r="C62" s="15" t="inlineStr">
        <is>
          <t>Work Configuration</t>
        </is>
      </c>
      <c r="D62" s="15" t="inlineStr">
        <is>
          <t>Holiday Calendar</t>
        </is>
      </c>
      <c r="E62" s="15" t="inlineStr">
        <is>
          <t>Built</t>
        </is>
      </c>
      <c r="F62" s="15" t="inlineStr">
        <is>
          <t>HRMS &gt; Employees &gt; Employee profile &gt; Work Setup</t>
        </is>
      </c>
      <c r="G62" s="15" t="inlineStr"/>
    </row>
    <row r="63">
      <c r="A63" s="15" t="n">
        <v>59</v>
      </c>
      <c r="B63" s="15" t="inlineStr">
        <is>
          <t>3. Employee Information</t>
        </is>
      </c>
      <c r="C63" s="15" t="inlineStr">
        <is>
          <t>Bank</t>
        </is>
      </c>
      <c r="D63" s="15" t="inlineStr">
        <is>
          <t>Bank Name</t>
        </is>
      </c>
      <c r="E63" s="15" t="inlineStr">
        <is>
          <t>Built</t>
        </is>
      </c>
      <c r="F63" s="15" t="inlineStr">
        <is>
          <t>HRMS &gt; Employees &gt; Employee profile &gt; Statutory &amp; Bank</t>
        </is>
      </c>
      <c r="G63" s="15" t="inlineStr">
        <is>
          <t>Account number / PAN masked for viewers without salary access</t>
        </is>
      </c>
    </row>
    <row r="64">
      <c r="A64" s="15" t="n">
        <v>60</v>
      </c>
      <c r="B64" s="15" t="inlineStr">
        <is>
          <t>3. Employee Information</t>
        </is>
      </c>
      <c r="C64" s="15" t="inlineStr">
        <is>
          <t>Bank</t>
        </is>
      </c>
      <c r="D64" s="15" t="inlineStr">
        <is>
          <t>Branch</t>
        </is>
      </c>
      <c r="E64" s="15" t="inlineStr">
        <is>
          <t>Built</t>
        </is>
      </c>
      <c r="F64" s="15" t="inlineStr">
        <is>
          <t>HRMS &gt; Employees &gt; Employee profile &gt; Statutory &amp; Bank</t>
        </is>
      </c>
      <c r="G64" s="15" t="inlineStr">
        <is>
          <t>Account number / PAN masked for viewers without salary access</t>
        </is>
      </c>
    </row>
    <row r="65">
      <c r="A65" s="15" t="n">
        <v>61</v>
      </c>
      <c r="B65" s="15" t="inlineStr">
        <is>
          <t>3. Employee Information</t>
        </is>
      </c>
      <c r="C65" s="15" t="inlineStr">
        <is>
          <t>Bank</t>
        </is>
      </c>
      <c r="D65" s="15" t="inlineStr">
        <is>
          <t>Account Holder Name</t>
        </is>
      </c>
      <c r="E65" s="15" t="inlineStr">
        <is>
          <t>Built</t>
        </is>
      </c>
      <c r="F65" s="15" t="inlineStr">
        <is>
          <t>HRMS &gt; Employees &gt; Employee profile &gt; Statutory &amp; Bank</t>
        </is>
      </c>
      <c r="G65" s="15" t="inlineStr">
        <is>
          <t>Account number / PAN masked for viewers without salary access</t>
        </is>
      </c>
    </row>
    <row r="66">
      <c r="A66" s="15" t="n">
        <v>62</v>
      </c>
      <c r="B66" s="15" t="inlineStr">
        <is>
          <t>3. Employee Information</t>
        </is>
      </c>
      <c r="C66" s="15" t="inlineStr">
        <is>
          <t>Bank</t>
        </is>
      </c>
      <c r="D66" s="15" t="inlineStr">
        <is>
          <t>Account Number</t>
        </is>
      </c>
      <c r="E66" s="15" t="inlineStr">
        <is>
          <t>Built</t>
        </is>
      </c>
      <c r="F66" s="15" t="inlineStr">
        <is>
          <t>HRMS &gt; Employees &gt; Employee profile &gt; Statutory &amp; Bank</t>
        </is>
      </c>
      <c r="G66" s="15" t="inlineStr">
        <is>
          <t>Account number / PAN masked for viewers without salary access</t>
        </is>
      </c>
    </row>
    <row r="67">
      <c r="A67" s="15" t="n">
        <v>63</v>
      </c>
      <c r="B67" s="15" t="inlineStr">
        <is>
          <t>3. Employee Information</t>
        </is>
      </c>
      <c r="C67" s="15" t="inlineStr">
        <is>
          <t>Bank</t>
        </is>
      </c>
      <c r="D67" s="15" t="inlineStr">
        <is>
          <t>IFSC</t>
        </is>
      </c>
      <c r="E67" s="15" t="inlineStr">
        <is>
          <t>Built</t>
        </is>
      </c>
      <c r="F67" s="15" t="inlineStr">
        <is>
          <t>HRMS &gt; Employees &gt; Employee profile &gt; Statutory &amp; Bank</t>
        </is>
      </c>
      <c r="G67" s="15" t="inlineStr">
        <is>
          <t>Account number / PAN masked for viewers without salary access</t>
        </is>
      </c>
    </row>
    <row r="68">
      <c r="A68" s="15" t="n">
        <v>64</v>
      </c>
      <c r="B68" s="15" t="inlineStr">
        <is>
          <t>3. Employee Information</t>
        </is>
      </c>
      <c r="C68" s="15" t="inlineStr">
        <is>
          <t>Bank</t>
        </is>
      </c>
      <c r="D68" s="15" t="inlineStr">
        <is>
          <t>Account Type</t>
        </is>
      </c>
      <c r="E68" s="15" t="inlineStr">
        <is>
          <t>Built</t>
        </is>
      </c>
      <c r="F68" s="15" t="inlineStr">
        <is>
          <t>HRMS &gt; Employees &gt; Employee profile &gt; Statutory &amp; Bank</t>
        </is>
      </c>
      <c r="G68" s="15" t="inlineStr">
        <is>
          <t>Account number / PAN masked for viewers without salary access</t>
        </is>
      </c>
    </row>
    <row r="69">
      <c r="A69" s="15" t="n">
        <v>65</v>
      </c>
      <c r="B69" s="15" t="inlineStr">
        <is>
          <t>3. Employee Information</t>
        </is>
      </c>
      <c r="C69" s="15" t="inlineStr">
        <is>
          <t>Bank</t>
        </is>
      </c>
      <c r="D69" s="15" t="inlineStr">
        <is>
          <t>Effective From</t>
        </is>
      </c>
      <c r="E69" s="15" t="inlineStr">
        <is>
          <t>Built</t>
        </is>
      </c>
      <c r="F69" s="15" t="inlineStr">
        <is>
          <t>HRMS &gt; Employees &gt; Employee profile &gt; Statutory &amp; Bank</t>
        </is>
      </c>
      <c r="G69" s="15" t="inlineStr">
        <is>
          <t>Account number / PAN masked for viewers without salary access</t>
        </is>
      </c>
    </row>
    <row r="70">
      <c r="A70" s="15" t="n">
        <v>66</v>
      </c>
      <c r="B70" s="15" t="inlineStr">
        <is>
          <t>3. Employee Information</t>
        </is>
      </c>
      <c r="C70" s="15" t="inlineStr">
        <is>
          <t>Statutory / Payroll IDs</t>
        </is>
      </c>
      <c r="D70" s="15" t="inlineStr">
        <is>
          <t>PAN</t>
        </is>
      </c>
      <c r="E70" s="15" t="inlineStr">
        <is>
          <t>Built</t>
        </is>
      </c>
      <c r="F70" s="15" t="inlineStr">
        <is>
          <t>HRMS &gt; Employees &gt; Employee profile &gt; Statutory &amp; Bank</t>
        </is>
      </c>
      <c r="G70" s="15" t="inlineStr"/>
    </row>
    <row r="71">
      <c r="A71" s="15" t="n">
        <v>67</v>
      </c>
      <c r="B71" s="15" t="inlineStr">
        <is>
          <t>3. Employee Information</t>
        </is>
      </c>
      <c r="C71" s="15" t="inlineStr">
        <is>
          <t>Statutory / Payroll IDs</t>
        </is>
      </c>
      <c r="D71" s="15" t="inlineStr">
        <is>
          <t>UAN / PF</t>
        </is>
      </c>
      <c r="E71" s="15" t="inlineStr">
        <is>
          <t>Built</t>
        </is>
      </c>
      <c r="F71" s="15" t="inlineStr">
        <is>
          <t>HRMS &gt; Employees &gt; Employee profile &gt; Statutory &amp; Bank</t>
        </is>
      </c>
      <c r="G71" s="15" t="inlineStr"/>
    </row>
    <row r="72">
      <c r="A72" s="15" t="n">
        <v>68</v>
      </c>
      <c r="B72" s="15" t="inlineStr">
        <is>
          <t>3. Employee Information</t>
        </is>
      </c>
      <c r="C72" s="15" t="inlineStr">
        <is>
          <t>Statutory / Payroll IDs</t>
        </is>
      </c>
      <c r="D72" s="15" t="inlineStr">
        <is>
          <t>ESI</t>
        </is>
      </c>
      <c r="E72" s="15" t="inlineStr">
        <is>
          <t>Built</t>
        </is>
      </c>
      <c r="F72" s="15" t="inlineStr">
        <is>
          <t>HRMS &gt; Employees &gt; Employee profile &gt; Statutory &amp; Bank</t>
        </is>
      </c>
      <c r="G72" s="15" t="inlineStr"/>
    </row>
    <row r="73">
      <c r="A73" s="15" t="n">
        <v>69</v>
      </c>
      <c r="B73" s="15" t="inlineStr">
        <is>
          <t>3. Employee Information</t>
        </is>
      </c>
      <c r="C73" s="15" t="inlineStr">
        <is>
          <t>Statutory / Payroll IDs</t>
        </is>
      </c>
      <c r="D73" s="15" t="inlineStr">
        <is>
          <t>Other approved statutory identifiers</t>
        </is>
      </c>
      <c r="E73" s="15" t="inlineStr">
        <is>
          <t>Built</t>
        </is>
      </c>
      <c r="F73" s="15" t="inlineStr">
        <is>
          <t>HRMS &gt; Employees &gt; Employee profile &gt; Statutory &amp; Bank / Additional fields</t>
        </is>
      </c>
      <c r="G73" s="15" t="inlineStr">
        <is>
          <t>Passport and Driving Licence built; any further identifier can be added as a sensitive configurable field. The FRD gives no further list.</t>
        </is>
      </c>
    </row>
    <row r="74">
      <c r="A74" s="15" t="n">
        <v>70</v>
      </c>
      <c r="B74" s="15" t="inlineStr">
        <is>
          <t>3. Employee Information</t>
        </is>
      </c>
      <c r="C74" s="15" t="inlineStr">
        <is>
          <t>Salary Linkage</t>
        </is>
      </c>
      <c r="D74" s="15" t="inlineStr">
        <is>
          <t>Salary Structure / Template</t>
        </is>
      </c>
      <c r="E74" s="15" t="inlineStr">
        <is>
          <t>Built</t>
        </is>
      </c>
      <c r="F74" s="15" t="inlineStr">
        <is>
          <t>HRMS &gt; Employees &gt; Employee profile &gt; Salary</t>
        </is>
      </c>
      <c r="G74" s="15" t="inlineStr">
        <is>
          <t>CTC / Gross read from the active salary structure</t>
        </is>
      </c>
    </row>
    <row r="75">
      <c r="A75" s="15" t="n">
        <v>71</v>
      </c>
      <c r="B75" s="15" t="inlineStr">
        <is>
          <t>3. Employee Information</t>
        </is>
      </c>
      <c r="C75" s="15" t="inlineStr">
        <is>
          <t>Salary Linkage</t>
        </is>
      </c>
      <c r="D75" s="15" t="inlineStr">
        <is>
          <t>Payroll Group</t>
        </is>
      </c>
      <c r="E75" s="15" t="inlineStr">
        <is>
          <t>Built</t>
        </is>
      </c>
      <c r="F75" s="15" t="inlineStr">
        <is>
          <t>HRMS &gt; Employees &gt; Employee profile &gt; Salary</t>
        </is>
      </c>
      <c r="G75" s="15" t="inlineStr">
        <is>
          <t>CTC / Gross read from the active salary structure</t>
        </is>
      </c>
    </row>
    <row r="76">
      <c r="A76" s="15" t="n">
        <v>72</v>
      </c>
      <c r="B76" s="15" t="inlineStr">
        <is>
          <t>3. Employee Information</t>
        </is>
      </c>
      <c r="C76" s="15" t="inlineStr">
        <is>
          <t>Salary Linkage</t>
        </is>
      </c>
      <c r="D76" s="15" t="inlineStr">
        <is>
          <t>Effective Date</t>
        </is>
      </c>
      <c r="E76" s="15" t="inlineStr">
        <is>
          <t>Built</t>
        </is>
      </c>
      <c r="F76" s="15" t="inlineStr">
        <is>
          <t>HRMS &gt; Employees &gt; Employee profile &gt; Salary</t>
        </is>
      </c>
      <c r="G76" s="15" t="inlineStr">
        <is>
          <t>CTC / Gross read from the active salary structure</t>
        </is>
      </c>
    </row>
    <row r="77">
      <c r="A77" s="15" t="n">
        <v>73</v>
      </c>
      <c r="B77" s="15" t="inlineStr">
        <is>
          <t>3. Employee Information</t>
        </is>
      </c>
      <c r="C77" s="15" t="inlineStr">
        <is>
          <t>Salary Linkage</t>
        </is>
      </c>
      <c r="D77" s="15" t="inlineStr">
        <is>
          <t>Annual CTC</t>
        </is>
      </c>
      <c r="E77" s="15" t="inlineStr">
        <is>
          <t>Built</t>
        </is>
      </c>
      <c r="F77" s="15" t="inlineStr">
        <is>
          <t>HRMS &gt; Employees &gt; Employee profile &gt; Salary</t>
        </is>
      </c>
      <c r="G77" s="15" t="inlineStr">
        <is>
          <t>CTC / Gross read from the active salary structure</t>
        </is>
      </c>
    </row>
    <row r="78">
      <c r="A78" s="15" t="n">
        <v>74</v>
      </c>
      <c r="B78" s="15" t="inlineStr">
        <is>
          <t>3. Employee Information</t>
        </is>
      </c>
      <c r="C78" s="15" t="inlineStr">
        <is>
          <t>Salary Linkage</t>
        </is>
      </c>
      <c r="D78" s="15" t="inlineStr">
        <is>
          <t>Monthly Gross</t>
        </is>
      </c>
      <c r="E78" s="15" t="inlineStr">
        <is>
          <t>Built</t>
        </is>
      </c>
      <c r="F78" s="15" t="inlineStr">
        <is>
          <t>HRMS &gt; Employees &gt; Employee profile &gt; Salary</t>
        </is>
      </c>
      <c r="G78" s="15" t="inlineStr">
        <is>
          <t>CTC / Gross read from the active salary structure</t>
        </is>
      </c>
    </row>
    <row r="79">
      <c r="A79" s="15" t="n">
        <v>75</v>
      </c>
      <c r="B79" s="15" t="inlineStr">
        <is>
          <t>3. Employee Information</t>
        </is>
      </c>
      <c r="C79" s="15" t="inlineStr">
        <is>
          <t>Documents</t>
        </is>
      </c>
      <c r="D79" s="15" t="inlineStr">
        <is>
          <t>PAN</t>
        </is>
      </c>
      <c r="E79" s="15" t="inlineStr">
        <is>
          <t>Built</t>
        </is>
      </c>
      <c r="F79" s="15" t="inlineStr">
        <is>
          <t>HRMS &gt; Documents / Document Types</t>
        </is>
      </c>
      <c r="G79" s="15" t="inlineStr"/>
    </row>
    <row r="80">
      <c r="A80" s="15" t="n">
        <v>76</v>
      </c>
      <c r="B80" s="15" t="inlineStr">
        <is>
          <t>3. Employee Information</t>
        </is>
      </c>
      <c r="C80" s="15" t="inlineStr">
        <is>
          <t>Documents</t>
        </is>
      </c>
      <c r="D80" s="15" t="inlineStr">
        <is>
          <t>Aadhaar</t>
        </is>
      </c>
      <c r="E80" s="15" t="inlineStr">
        <is>
          <t>Built</t>
        </is>
      </c>
      <c r="F80" s="15" t="inlineStr">
        <is>
          <t>HRMS &gt; Documents / Document Types</t>
        </is>
      </c>
      <c r="G80" s="15" t="inlineStr"/>
    </row>
    <row r="81">
      <c r="A81" s="15" t="n">
        <v>77</v>
      </c>
      <c r="B81" s="15" t="inlineStr">
        <is>
          <t>3. Employee Information</t>
        </is>
      </c>
      <c r="C81" s="15" t="inlineStr">
        <is>
          <t>Documents</t>
        </is>
      </c>
      <c r="D81" s="15" t="inlineStr">
        <is>
          <t>Bank Proof</t>
        </is>
      </c>
      <c r="E81" s="15" t="inlineStr">
        <is>
          <t>Built</t>
        </is>
      </c>
      <c r="F81" s="15" t="inlineStr">
        <is>
          <t>HRMS &gt; Documents / Document Types</t>
        </is>
      </c>
      <c r="G81" s="15" t="inlineStr"/>
    </row>
    <row r="82">
      <c r="A82" s="15" t="n">
        <v>78</v>
      </c>
      <c r="B82" s="15" t="inlineStr">
        <is>
          <t>3. Employee Information</t>
        </is>
      </c>
      <c r="C82" s="15" t="inlineStr">
        <is>
          <t>Documents</t>
        </is>
      </c>
      <c r="D82" s="15" t="inlineStr">
        <is>
          <t>Address Proof</t>
        </is>
      </c>
      <c r="E82" s="15" t="inlineStr">
        <is>
          <t>Built</t>
        </is>
      </c>
      <c r="F82" s="15" t="inlineStr">
        <is>
          <t>HRMS &gt; Documents / Document Types</t>
        </is>
      </c>
      <c r="G82" s="15" t="inlineStr"/>
    </row>
    <row r="83">
      <c r="A83" s="15" t="n">
        <v>79</v>
      </c>
      <c r="B83" s="15" t="inlineStr">
        <is>
          <t>3. Employee Information</t>
        </is>
      </c>
      <c r="C83" s="15" t="inlineStr">
        <is>
          <t>Documents</t>
        </is>
      </c>
      <c r="D83" s="15" t="inlineStr">
        <is>
          <t>Photograph</t>
        </is>
      </c>
      <c r="E83" s="15" t="inlineStr">
        <is>
          <t>Built</t>
        </is>
      </c>
      <c r="F83" s="15" t="inlineStr">
        <is>
          <t>HRMS &gt; Documents / Document Types</t>
        </is>
      </c>
      <c r="G83" s="15" t="inlineStr"/>
    </row>
    <row r="84">
      <c r="A84" s="15" t="n">
        <v>80</v>
      </c>
      <c r="B84" s="15" t="inlineStr">
        <is>
          <t>3. Employee Information</t>
        </is>
      </c>
      <c r="C84" s="15" t="inlineStr">
        <is>
          <t>Documents</t>
        </is>
      </c>
      <c r="D84" s="15" t="inlineStr">
        <is>
          <t>Education</t>
        </is>
      </c>
      <c r="E84" s="15" t="inlineStr">
        <is>
          <t>Built</t>
        </is>
      </c>
      <c r="F84" s="15" t="inlineStr">
        <is>
          <t>HRMS &gt; Documents / Document Types</t>
        </is>
      </c>
      <c r="G84" s="15" t="inlineStr">
        <is>
          <t>Seeded as 'Degree Certificate'</t>
        </is>
      </c>
    </row>
    <row r="85">
      <c r="A85" s="15" t="n">
        <v>81</v>
      </c>
      <c r="B85" s="15" t="inlineStr">
        <is>
          <t>3. Employee Information</t>
        </is>
      </c>
      <c r="C85" s="15" t="inlineStr">
        <is>
          <t>Documents</t>
        </is>
      </c>
      <c r="D85" s="15" t="inlineStr">
        <is>
          <t>Previous Employment</t>
        </is>
      </c>
      <c r="E85" s="15" t="inlineStr">
        <is>
          <t>Built</t>
        </is>
      </c>
      <c r="F85" s="15" t="inlineStr">
        <is>
          <t>HRMS &gt; Documents / Document Types</t>
        </is>
      </c>
      <c r="G85" s="15" t="inlineStr">
        <is>
          <t>Seeded as 'Experience Letter' / 'Relieving Letter'</t>
        </is>
      </c>
    </row>
    <row r="86">
      <c r="A86" s="15" t="n">
        <v>82</v>
      </c>
      <c r="B86" s="15" t="inlineStr">
        <is>
          <t>3. Employee Information</t>
        </is>
      </c>
      <c r="C86" s="15" t="inlineStr">
        <is>
          <t>Documents</t>
        </is>
      </c>
      <c r="D86" s="15" t="inlineStr">
        <is>
          <t>Appointment Letter</t>
        </is>
      </c>
      <c r="E86" s="15" t="inlineStr">
        <is>
          <t>Built</t>
        </is>
      </c>
      <c r="F86" s="15" t="inlineStr">
        <is>
          <t>HRMS &gt; Documents / Document Types</t>
        </is>
      </c>
      <c r="G86" s="15" t="inlineStr">
        <is>
          <t>Seeded as a candidate document; HR can set it to apply to employees</t>
        </is>
      </c>
    </row>
    <row r="87">
      <c r="A87" s="15" t="n">
        <v>83</v>
      </c>
      <c r="B87" s="15" t="inlineStr">
        <is>
          <t>3. Employee Information</t>
        </is>
      </c>
      <c r="C87" s="15" t="inlineStr">
        <is>
          <t>Documents</t>
        </is>
      </c>
      <c r="D87" s="15" t="inlineStr">
        <is>
          <t>PSC</t>
        </is>
      </c>
      <c r="E87" s="15" t="inlineStr">
        <is>
          <t>Built</t>
        </is>
      </c>
      <c r="F87" s="15" t="inlineStr">
        <is>
          <t>HRMS &gt; Documents / Document Types</t>
        </is>
      </c>
      <c r="G87" s="15" t="inlineStr">
        <is>
          <t>DONE 24 Oct: 'PSC' document type seeded for new companies and offered once to existing ones.</t>
        </is>
      </c>
    </row>
    <row r="88">
      <c r="A88" s="15" t="n">
        <v>84</v>
      </c>
      <c r="B88" s="15" t="inlineStr">
        <is>
          <t>3. Employee Information</t>
        </is>
      </c>
      <c r="C88" s="15" t="inlineStr">
        <is>
          <t>Documents</t>
        </is>
      </c>
      <c r="D88" s="15" t="inlineStr">
        <is>
          <t>Other approved categories</t>
        </is>
      </c>
      <c r="E88" s="15" t="inlineStr">
        <is>
          <t>Built</t>
        </is>
      </c>
      <c r="F88" s="15" t="inlineStr">
        <is>
          <t>HRMS &gt; Documents / Document Types</t>
        </is>
      </c>
      <c r="G88" s="15" t="inlineStr">
        <is>
          <t>HR can create any document type under any category. The FRD does not list the approved categories.</t>
        </is>
      </c>
    </row>
    <row r="89">
      <c r="A89" s="15" t="n">
        <v>85</v>
      </c>
      <c r="B89" s="15" t="inlineStr">
        <is>
          <t>3. Employee Information</t>
        </is>
      </c>
      <c r="C89" s="15" t="inlineStr">
        <is>
          <t>System / Audit</t>
        </is>
      </c>
      <c r="D89" s="15" t="inlineStr">
        <is>
          <t>Active / Inactive</t>
        </is>
      </c>
      <c r="E89" s="15" t="inlineStr">
        <is>
          <t>Built</t>
        </is>
      </c>
      <c r="F89" s="15" t="inlineStr">
        <is>
          <t>HRMS &gt; Employees &gt; Employee profile (footer) / History tab</t>
        </is>
      </c>
      <c r="G89" s="15" t="inlineStr">
        <is>
          <t>Derived from login status + employment status</t>
        </is>
      </c>
    </row>
    <row r="90">
      <c r="A90" s="15" t="n">
        <v>86</v>
      </c>
      <c r="B90" s="15" t="inlineStr">
        <is>
          <t>3. Employee Information</t>
        </is>
      </c>
      <c r="C90" s="15" t="inlineStr">
        <is>
          <t>System / Audit</t>
        </is>
      </c>
      <c r="D90" s="15" t="inlineStr">
        <is>
          <t>User Account</t>
        </is>
      </c>
      <c r="E90" s="15" t="inlineStr">
        <is>
          <t>Built</t>
        </is>
      </c>
      <c r="F90" s="15" t="inlineStr">
        <is>
          <t>HRMS &gt; Employees &gt; Employee profile (footer) / History tab</t>
        </is>
      </c>
      <c r="G90" s="15" t="inlineStr">
        <is>
          <t>Profile linked to the login account</t>
        </is>
      </c>
    </row>
    <row r="91">
      <c r="A91" s="15" t="n">
        <v>87</v>
      </c>
      <c r="B91" s="15" t="inlineStr">
        <is>
          <t>3. Employee Information</t>
        </is>
      </c>
      <c r="C91" s="15" t="inlineStr">
        <is>
          <t>System / Audit</t>
        </is>
      </c>
      <c r="D91" s="15" t="inlineStr">
        <is>
          <t>Role</t>
        </is>
      </c>
      <c r="E91" s="15" t="inlineStr">
        <is>
          <t>Built</t>
        </is>
      </c>
      <c r="F91" s="15" t="inlineStr">
        <is>
          <t>HRMS &gt; Employees &gt; Employee profile (footer) / History tab</t>
        </is>
      </c>
      <c r="G91" s="15" t="inlineStr">
        <is>
          <t>From the user account</t>
        </is>
      </c>
    </row>
    <row r="92">
      <c r="A92" s="15" t="n">
        <v>88</v>
      </c>
      <c r="B92" s="15" t="inlineStr">
        <is>
          <t>3. Employee Information</t>
        </is>
      </c>
      <c r="C92" s="15" t="inlineStr">
        <is>
          <t>System / Audit</t>
        </is>
      </c>
      <c r="D92" s="15" t="inlineStr">
        <is>
          <t>Effective From / To</t>
        </is>
      </c>
      <c r="E92" s="15" t="inlineStr">
        <is>
          <t>Built</t>
        </is>
      </c>
      <c r="F92" s="15" t="inlineStr">
        <is>
          <t>HRMS &gt; Employees &gt; Employee profile (footer) / History tab</t>
        </is>
      </c>
      <c r="G92" s="15" t="inlineStr">
        <is>
          <t>DONE 24 Oct: employee history shows Effective From and Effective To (day before the next change).</t>
        </is>
      </c>
    </row>
    <row r="93">
      <c r="A93" s="15" t="n">
        <v>89</v>
      </c>
      <c r="B93" s="15" t="inlineStr">
        <is>
          <t>3. Employee Information</t>
        </is>
      </c>
      <c r="C93" s="15" t="inlineStr">
        <is>
          <t>System / Audit</t>
        </is>
      </c>
      <c r="D93" s="15" t="inlineStr">
        <is>
          <t>Created By / Date</t>
        </is>
      </c>
      <c r="E93" s="15" t="inlineStr">
        <is>
          <t>Built</t>
        </is>
      </c>
      <c r="F93" s="15" t="inlineStr">
        <is>
          <t>HRMS &gt; Employees &gt; Employee profile (footer) / History tab</t>
        </is>
      </c>
      <c r="G93" s="15" t="inlineStr"/>
    </row>
    <row r="94">
      <c r="A94" s="15" t="n">
        <v>90</v>
      </c>
      <c r="B94" s="15" t="inlineStr">
        <is>
          <t>3. Employee Information</t>
        </is>
      </c>
      <c r="C94" s="15" t="inlineStr">
        <is>
          <t>System / Audit</t>
        </is>
      </c>
      <c r="D94" s="15" t="inlineStr">
        <is>
          <t>Modified By / Date</t>
        </is>
      </c>
      <c r="E94" s="15" t="inlineStr">
        <is>
          <t>Built</t>
        </is>
      </c>
      <c r="F94" s="15" t="inlineStr">
        <is>
          <t>HRMS &gt; Employees &gt; Employee profile (footer) / History tab</t>
        </is>
      </c>
      <c r="G94" s="15" t="inlineStr"/>
    </row>
    <row r="95">
      <c r="A95" s="15" t="n">
        <v>91</v>
      </c>
      <c r="B95" s="15" t="inlineStr">
        <is>
          <t>4. Employee Creation / Change Process</t>
        </is>
      </c>
      <c r="C95" s="15" t="inlineStr">
        <is>
          <t>Process</t>
        </is>
      </c>
      <c r="D95" s="15" t="inlineStr">
        <is>
          <t>HR creates the employee record</t>
        </is>
      </c>
      <c r="E95" s="15" t="inlineStr">
        <is>
          <t>Built</t>
        </is>
      </c>
      <c r="F95" s="15" t="inlineStr">
        <is>
          <t>HRMS &gt; Employees</t>
        </is>
      </c>
      <c r="G95" s="15" t="inlineStr">
        <is>
          <t>Add Employee from an existing user account</t>
        </is>
      </c>
    </row>
    <row r="96">
      <c r="A96" s="15" t="n">
        <v>92</v>
      </c>
      <c r="B96" s="15" t="inlineStr">
        <is>
          <t>4. Employee Creation / Change Process</t>
        </is>
      </c>
      <c r="C96" s="15" t="inlineStr">
        <is>
          <t>Process</t>
        </is>
      </c>
      <c r="D96" s="15" t="inlineStr">
        <is>
          <t>HR imports the employee record (bulk import)</t>
        </is>
      </c>
      <c r="E96" s="15" t="inlineStr">
        <is>
          <t>Built</t>
        </is>
      </c>
      <c r="F96" s="15" t="inlineStr">
        <is>
          <t>HRMS &gt; Employees</t>
        </is>
      </c>
      <c r="G96" s="15" t="inlineStr">
        <is>
          <t>NEW 24 Oct: Employees &gt; Import (CSV / Excel), preview then import; each row runs the same checks as Add Employee and names an existing user account by email.</t>
        </is>
      </c>
    </row>
    <row r="97">
      <c r="A97" s="15" t="n">
        <v>93</v>
      </c>
      <c r="B97" s="15" t="inlineStr">
        <is>
          <t>4. Employee Creation / Change Process</t>
        </is>
      </c>
      <c r="C97" s="15" t="inlineStr">
        <is>
          <t>Process</t>
        </is>
      </c>
      <c r="D97" s="15" t="inlineStr">
        <is>
          <t>Duplicate / identity validation before commit</t>
        </is>
      </c>
      <c r="E97" s="15" t="inlineStr">
        <is>
          <t>Built</t>
        </is>
      </c>
      <c r="F97" s="15" t="inlineStr">
        <is>
          <t>HRMS &gt; Employees</t>
        </is>
      </c>
      <c r="G97" s="15" t="inlineStr">
        <is>
          <t>PAN, Aadhaar, UAN, passport, emails, mobile, bank account</t>
        </is>
      </c>
    </row>
    <row r="98">
      <c r="A98" s="15" t="n">
        <v>94</v>
      </c>
      <c r="B98" s="15" t="inlineStr">
        <is>
          <t>4. Employee Creation / Change Process</t>
        </is>
      </c>
      <c r="C98" s="15" t="inlineStr">
        <is>
          <t>Process</t>
        </is>
      </c>
      <c r="D98" s="15" t="inlineStr">
        <is>
          <t>Employee ID per configured numbering</t>
        </is>
      </c>
      <c r="E98" s="15" t="inlineStr">
        <is>
          <t>Built</t>
        </is>
      </c>
      <c r="F98" s="15" t="inlineStr">
        <is>
          <t>HRMS &gt; Employees</t>
        </is>
      </c>
      <c r="G98" s="15" t="inlineStr">
        <is>
          <t>DONE 24 Oct: Employee ID format configurable (prefix, year, digits) in Employee Master Setup; default EMP-YYYY-NNN unchanged.</t>
        </is>
      </c>
    </row>
    <row r="99">
      <c r="A99" s="15" t="n">
        <v>95</v>
      </c>
      <c r="B99" s="15" t="inlineStr">
        <is>
          <t>4. Employee Creation / Change Process</t>
        </is>
      </c>
      <c r="C99" s="15" t="inlineStr">
        <is>
          <t>Process</t>
        </is>
      </c>
      <c r="D99" s="15" t="inlineStr">
        <is>
          <t>Assign company, department, designation, grade/level, location, reporting manager</t>
        </is>
      </c>
      <c r="E99" s="15" t="inlineStr">
        <is>
          <t>Built</t>
        </is>
      </c>
      <c r="F99" s="15" t="inlineStr">
        <is>
          <t>HRMS &gt; Employees</t>
        </is>
      </c>
      <c r="G99" s="15" t="inlineStr"/>
    </row>
    <row r="100">
      <c r="A100" s="15" t="n">
        <v>96</v>
      </c>
      <c r="B100" s="15" t="inlineStr">
        <is>
          <t>4. Employee Creation / Change Process</t>
        </is>
      </c>
      <c r="C100" s="15" t="inlineStr">
        <is>
          <t>Process</t>
        </is>
      </c>
      <c r="D100" s="15" t="inlineStr">
        <is>
          <t>Bank, statutory and contact details captured and validated</t>
        </is>
      </c>
      <c r="E100" s="15" t="inlineStr">
        <is>
          <t>Built</t>
        </is>
      </c>
      <c r="F100" s="15" t="inlineStr">
        <is>
          <t>HRMS &gt; Employees</t>
        </is>
      </c>
      <c r="G100" s="15" t="inlineStr"/>
    </row>
    <row r="101">
      <c r="A101" s="15" t="n">
        <v>97</v>
      </c>
      <c r="B101" s="15" t="inlineStr">
        <is>
          <t>4. Employee Creation / Change Process</t>
        </is>
      </c>
      <c r="C101" s="15" t="inlineStr">
        <is>
          <t>Process</t>
        </is>
      </c>
      <c r="D101" s="15" t="inlineStr">
        <is>
          <t>Effective-dated salary structure and payroll group assigned</t>
        </is>
      </c>
      <c r="E101" s="15" t="inlineStr">
        <is>
          <t>Built</t>
        </is>
      </c>
      <c r="F101" s="15" t="inlineStr">
        <is>
          <t>HRMS &gt; Employees</t>
        </is>
      </c>
      <c r="G101" s="15" t="inlineStr"/>
    </row>
    <row r="102">
      <c r="A102" s="15" t="n">
        <v>98</v>
      </c>
      <c r="B102" s="15" t="inlineStr">
        <is>
          <t>4. Employee Creation / Change Process</t>
        </is>
      </c>
      <c r="C102" s="15" t="inlineStr">
        <is>
          <t>Process</t>
        </is>
      </c>
      <c r="D102" s="15" t="inlineStr">
        <is>
          <t>Shift, attendance policy, weekly-off and holiday group assigned</t>
        </is>
      </c>
      <c r="E102" s="15" t="inlineStr">
        <is>
          <t>Built</t>
        </is>
      </c>
      <c r="F102" s="15" t="inlineStr">
        <is>
          <t>HRMS &gt; Employees</t>
        </is>
      </c>
      <c r="G102" s="15" t="inlineStr"/>
    </row>
    <row r="103">
      <c r="A103" s="15" t="n">
        <v>99</v>
      </c>
      <c r="B103" s="15" t="inlineStr">
        <is>
          <t>4. Employee Creation / Change Process</t>
        </is>
      </c>
      <c r="C103" s="15" t="inlineStr">
        <is>
          <t>Process</t>
        </is>
      </c>
      <c r="D103" s="15" t="inlineStr">
        <is>
          <t>Required documents uploaded / verified</t>
        </is>
      </c>
      <c r="E103" s="15" t="inlineStr">
        <is>
          <t>Built</t>
        </is>
      </c>
      <c r="F103" s="15" t="inlineStr">
        <is>
          <t>HRMS &gt; Employees</t>
        </is>
      </c>
      <c r="G103" s="15" t="inlineStr">
        <is>
          <t>Documents module with verification status</t>
        </is>
      </c>
    </row>
    <row r="104">
      <c r="A104" s="15" t="n">
        <v>100</v>
      </c>
      <c r="B104" s="15" t="inlineStr">
        <is>
          <t>4. Employee Creation / Change Process</t>
        </is>
      </c>
      <c r="C104" s="15" t="inlineStr">
        <is>
          <t>Process</t>
        </is>
      </c>
      <c r="D104" s="15" t="inlineStr">
        <is>
          <t>Employee activated for Attendance and Payroll</t>
        </is>
      </c>
      <c r="E104" s="15" t="inlineStr">
        <is>
          <t>Built</t>
        </is>
      </c>
      <c r="F104" s="15" t="inlineStr">
        <is>
          <t>HRMS &gt; Employees</t>
        </is>
      </c>
      <c r="G104" s="15" t="inlineStr">
        <is>
          <t>DONE 24 Oct: 'Active for attendance' / 'Active for payroll' switches on the profile; payroll and marking honour them (default on).</t>
        </is>
      </c>
    </row>
    <row r="105">
      <c r="A105" s="15" t="n">
        <v>101</v>
      </c>
      <c r="B105" s="15" t="inlineStr">
        <is>
          <t>4. Employee Creation / Change Process</t>
        </is>
      </c>
      <c r="C105" s="15" t="inlineStr">
        <is>
          <t>Process</t>
        </is>
      </c>
      <c r="D105" s="15" t="inlineStr">
        <is>
          <t>Future department/designation/manager/location/salary changes effective-dated; history preserved</t>
        </is>
      </c>
      <c r="E105" s="15" t="inlineStr">
        <is>
          <t>Built</t>
        </is>
      </c>
      <c r="F105" s="15" t="inlineStr">
        <is>
          <t>HRMS &gt; Employees</t>
        </is>
      </c>
      <c r="G105" s="15" t="inlineStr">
        <is>
          <t>Future-dated changes are scheduled and applied on their date</t>
        </is>
      </c>
    </row>
    <row r="106">
      <c r="A106" s="15" t="n">
        <v>102</v>
      </c>
      <c r="B106" s="15" t="inlineStr">
        <is>
          <t>5. Attendance Configuration</t>
        </is>
      </c>
      <c r="C106" s="15" t="inlineStr">
        <is>
          <t>Shift</t>
        </is>
      </c>
      <c r="D106" s="15" t="inlineStr">
        <is>
          <t>Shift Code / Name</t>
        </is>
      </c>
      <c r="E106" s="15" t="inlineStr">
        <is>
          <t>Built</t>
        </is>
      </c>
      <c r="F106" s="15" t="inlineStr">
        <is>
          <t>HRMS &gt; Attendance &gt; Shifts / Holidays / Settings</t>
        </is>
      </c>
      <c r="G106" s="15" t="inlineStr"/>
    </row>
    <row r="107">
      <c r="A107" s="15" t="n">
        <v>103</v>
      </c>
      <c r="B107" s="15" t="inlineStr">
        <is>
          <t>5. Attendance Configuration</t>
        </is>
      </c>
      <c r="C107" s="15" t="inlineStr">
        <is>
          <t>Shift</t>
        </is>
      </c>
      <c r="D107" s="15" t="inlineStr">
        <is>
          <t>Start Time</t>
        </is>
      </c>
      <c r="E107" s="15" t="inlineStr">
        <is>
          <t>Built</t>
        </is>
      </c>
      <c r="F107" s="15" t="inlineStr">
        <is>
          <t>HRMS &gt; Attendance &gt; Shifts / Holidays / Settings</t>
        </is>
      </c>
      <c r="G107" s="15" t="inlineStr"/>
    </row>
    <row r="108">
      <c r="A108" s="15" t="n">
        <v>104</v>
      </c>
      <c r="B108" s="15" t="inlineStr">
        <is>
          <t>5. Attendance Configuration</t>
        </is>
      </c>
      <c r="C108" s="15" t="inlineStr">
        <is>
          <t>Shift</t>
        </is>
      </c>
      <c r="D108" s="15" t="inlineStr">
        <is>
          <t>End Time</t>
        </is>
      </c>
      <c r="E108" s="15" t="inlineStr">
        <is>
          <t>Built</t>
        </is>
      </c>
      <c r="F108" s="15" t="inlineStr">
        <is>
          <t>HRMS &gt; Attendance &gt; Shifts / Holidays / Settings</t>
        </is>
      </c>
      <c r="G108" s="15" t="inlineStr"/>
    </row>
    <row r="109">
      <c r="A109" s="15" t="n">
        <v>105</v>
      </c>
      <c r="B109" s="15" t="inlineStr">
        <is>
          <t>5. Attendance Configuration</t>
        </is>
      </c>
      <c r="C109" s="15" t="inlineStr">
        <is>
          <t>Shift</t>
        </is>
      </c>
      <c r="D109" s="15" t="inlineStr">
        <is>
          <t>Break Duration</t>
        </is>
      </c>
      <c r="E109" s="15" t="inlineStr">
        <is>
          <t>Built</t>
        </is>
      </c>
      <c r="F109" s="15" t="inlineStr">
        <is>
          <t>HRMS &gt; Attendance &gt; Shifts / Holidays / Settings</t>
        </is>
      </c>
      <c r="G109" s="15" t="inlineStr"/>
    </row>
    <row r="110">
      <c r="A110" s="15" t="n">
        <v>106</v>
      </c>
      <c r="B110" s="15" t="inlineStr">
        <is>
          <t>5. Attendance Configuration</t>
        </is>
      </c>
      <c r="C110" s="15" t="inlineStr">
        <is>
          <t>Shift</t>
        </is>
      </c>
      <c r="D110" s="15" t="inlineStr">
        <is>
          <t>Minimum Hours</t>
        </is>
      </c>
      <c r="E110" s="15" t="inlineStr">
        <is>
          <t>Built</t>
        </is>
      </c>
      <c r="F110" s="15" t="inlineStr">
        <is>
          <t>HRMS &gt; Attendance &gt; Shifts / Holidays / Settings</t>
        </is>
      </c>
      <c r="G110" s="15" t="inlineStr"/>
    </row>
    <row r="111">
      <c r="A111" s="15" t="n">
        <v>107</v>
      </c>
      <c r="B111" s="15" t="inlineStr">
        <is>
          <t>5. Attendance Configuration</t>
        </is>
      </c>
      <c r="C111" s="15" t="inlineStr">
        <is>
          <t>Grace</t>
        </is>
      </c>
      <c r="D111" s="15" t="inlineStr">
        <is>
          <t>Daily Grace Minutes</t>
        </is>
      </c>
      <c r="E111" s="15" t="inlineStr">
        <is>
          <t>Built</t>
        </is>
      </c>
      <c r="F111" s="15" t="inlineStr">
        <is>
          <t>HRMS &gt; Attendance &gt; Shifts / Holidays / Settings</t>
        </is>
      </c>
      <c r="G111" s="15" t="inlineStr"/>
    </row>
    <row r="112">
      <c r="A112" s="15" t="n">
        <v>108</v>
      </c>
      <c r="B112" s="15" t="inlineStr">
        <is>
          <t>5. Attendance Configuration</t>
        </is>
      </c>
      <c r="C112" s="15" t="inlineStr">
        <is>
          <t>Grace</t>
        </is>
      </c>
      <c r="D112" s="15" t="inlineStr">
        <is>
          <t>Monthly grace / buffer</t>
        </is>
      </c>
      <c r="E112" s="15" t="inlineStr">
        <is>
          <t>Built</t>
        </is>
      </c>
      <c r="F112" s="15" t="inlineStr">
        <is>
          <t>HRMS &gt; Attendance &gt; Shifts / Holidays / Settings</t>
        </is>
      </c>
      <c r="G112" s="15" t="inlineStr">
        <is>
          <t>Built; FRD marks it 'if approved'</t>
        </is>
      </c>
    </row>
    <row r="113">
      <c r="A113" s="15" t="n">
        <v>109</v>
      </c>
      <c r="B113" s="15" t="inlineStr">
        <is>
          <t>5. Attendance Configuration</t>
        </is>
      </c>
      <c r="C113" s="15" t="inlineStr">
        <is>
          <t>Weekly Off</t>
        </is>
      </c>
      <c r="D113" s="15" t="inlineStr">
        <is>
          <t>Configured weekday / pattern</t>
        </is>
      </c>
      <c r="E113" s="15" t="inlineStr">
        <is>
          <t>Built</t>
        </is>
      </c>
      <c r="F113" s="15" t="inlineStr">
        <is>
          <t>HRMS &gt; Attendance &gt; Shifts / Holidays / Settings</t>
        </is>
      </c>
      <c r="G113" s="15" t="inlineStr">
        <is>
          <t>Supports e.g. 2nd &amp; 4th Saturday</t>
        </is>
      </c>
    </row>
    <row r="114">
      <c r="A114" s="15" t="n">
        <v>110</v>
      </c>
      <c r="B114" s="15" t="inlineStr">
        <is>
          <t>5. Attendance Configuration</t>
        </is>
      </c>
      <c r="C114" s="15" t="inlineStr">
        <is>
          <t>Holiday Calendar</t>
        </is>
      </c>
      <c r="D114" s="15" t="inlineStr">
        <is>
          <t>Holiday Date</t>
        </is>
      </c>
      <c r="E114" s="15" t="inlineStr">
        <is>
          <t>Built</t>
        </is>
      </c>
      <c r="F114" s="15" t="inlineStr">
        <is>
          <t>HRMS &gt; Attendance &gt; Shifts / Holidays / Settings</t>
        </is>
      </c>
      <c r="G114" s="15" t="inlineStr"/>
    </row>
    <row r="115">
      <c r="A115" s="15" t="n">
        <v>111</v>
      </c>
      <c r="B115" s="15" t="inlineStr">
        <is>
          <t>5. Attendance Configuration</t>
        </is>
      </c>
      <c r="C115" s="15" t="inlineStr">
        <is>
          <t>Holiday Calendar</t>
        </is>
      </c>
      <c r="D115" s="15" t="inlineStr">
        <is>
          <t>Name</t>
        </is>
      </c>
      <c r="E115" s="15" t="inlineStr">
        <is>
          <t>Built</t>
        </is>
      </c>
      <c r="F115" s="15" t="inlineStr">
        <is>
          <t>HRMS &gt; Attendance &gt; Shifts / Holidays / Settings</t>
        </is>
      </c>
      <c r="G115" s="15" t="inlineStr"/>
    </row>
    <row r="116">
      <c r="A116" s="15" t="n">
        <v>112</v>
      </c>
      <c r="B116" s="15" t="inlineStr">
        <is>
          <t>5. Attendance Configuration</t>
        </is>
      </c>
      <c r="C116" s="15" t="inlineStr">
        <is>
          <t>Holiday Calendar</t>
        </is>
      </c>
      <c r="D116" s="15" t="inlineStr">
        <is>
          <t>Entity / Location applicability</t>
        </is>
      </c>
      <c r="E116" s="15" t="inlineStr">
        <is>
          <t>Built</t>
        </is>
      </c>
      <c r="F116" s="15" t="inlineStr">
        <is>
          <t>HRMS &gt; Attendance &gt; Shifts / Holidays / Settings</t>
        </is>
      </c>
      <c r="G116" s="15" t="inlineStr">
        <is>
          <t>By holiday calendar and location</t>
        </is>
      </c>
    </row>
    <row r="117">
      <c r="A117" s="15" t="n">
        <v>113</v>
      </c>
      <c r="B117" s="15" t="inlineStr">
        <is>
          <t>5. Attendance Configuration</t>
        </is>
      </c>
      <c r="C117" s="15" t="inlineStr">
        <is>
          <t>Attendance Source</t>
        </is>
      </c>
      <c r="D117" s="15" t="inlineStr">
        <is>
          <t>Google / API / Biometric / Manual / Import</t>
        </is>
      </c>
      <c r="E117" s="15" t="inlineStr">
        <is>
          <t>Built</t>
        </is>
      </c>
      <c r="F117" s="15" t="inlineStr">
        <is>
          <t>HRMS &gt; Attendance &gt; Shifts / Holidays / Settings</t>
        </is>
      </c>
      <c r="G117" s="15" t="inlineStr">
        <is>
          <t>Client answered 19 Oct (docs/hrms/PHASE1_FRD_GAP_PLAN.md): the source is a label. Manual, Import and Self capture paths built.</t>
        </is>
      </c>
    </row>
    <row r="118">
      <c r="A118" s="15" t="n">
        <v>114</v>
      </c>
      <c r="B118" s="15" t="inlineStr">
        <is>
          <t>5. Attendance Configuration</t>
        </is>
      </c>
      <c r="C118" s="15" t="inlineStr">
        <is>
          <t>Attendance Policy Group</t>
        </is>
      </c>
      <c r="D118" s="15" t="inlineStr">
        <is>
          <t>Employee Category; Location; Level; Shift; rule applicability</t>
        </is>
      </c>
      <c r="E118" s="15" t="inlineStr">
        <is>
          <t>Built</t>
        </is>
      </c>
      <c r="F118" s="15" t="inlineStr">
        <is>
          <t>HRMS &gt; Attendance &gt; Shifts / Holidays / Settings</t>
        </is>
      </c>
      <c r="G118" s="15" t="inlineStr">
        <is>
          <t>DONE 24 Oct: Policy Designer scope offers every key: location, department, grade, level, category, shift, policy group, payroll group.</t>
        </is>
      </c>
    </row>
    <row r="119">
      <c r="A119" s="15" t="n">
        <v>115</v>
      </c>
      <c r="B119" s="15" t="inlineStr">
        <is>
          <t>5. Attendance Configuration</t>
        </is>
      </c>
      <c r="C119" s="15" t="inlineStr">
        <is>
          <t>Late Coming</t>
        </is>
      </c>
      <c r="D119" s="15" t="inlineStr">
        <is>
          <t>Scheduled In; Grace; Late threshold; late minutes</t>
        </is>
      </c>
      <c r="E119" s="15" t="inlineStr">
        <is>
          <t>Built</t>
        </is>
      </c>
      <c r="F119" s="15" t="inlineStr">
        <is>
          <t>HRMS &gt; Attendance &gt; Shifts / Holidays / Settings</t>
        </is>
      </c>
      <c r="G119" s="15" t="inlineStr"/>
    </row>
    <row r="120">
      <c r="A120" s="15" t="n">
        <v>116</v>
      </c>
      <c r="B120" s="15" t="inlineStr">
        <is>
          <t>5. Attendance Configuration</t>
        </is>
      </c>
      <c r="C120" s="15" t="inlineStr">
        <is>
          <t>Early Going</t>
        </is>
      </c>
      <c r="D120" s="15" t="inlineStr">
        <is>
          <t>Scheduled Out; permitted grace / threshold</t>
        </is>
      </c>
      <c r="E120" s="15" t="inlineStr">
        <is>
          <t>Built</t>
        </is>
      </c>
      <c r="F120" s="15" t="inlineStr">
        <is>
          <t>HRMS &gt; Attendance &gt; Shifts / Holidays / Settings</t>
        </is>
      </c>
      <c r="G120" s="15" t="inlineStr"/>
    </row>
    <row r="121">
      <c r="A121" s="15" t="n">
        <v>117</v>
      </c>
      <c r="B121" s="15" t="inlineStr">
        <is>
          <t>5. Attendance Configuration</t>
        </is>
      </c>
      <c r="C121" s="15" t="inlineStr">
        <is>
          <t>Half Day</t>
        </is>
      </c>
      <c r="D121" s="15" t="inlineStr">
        <is>
          <t>Minimum working-hours or policy threshold</t>
        </is>
      </c>
      <c r="E121" s="15" t="inlineStr">
        <is>
          <t>Built</t>
        </is>
      </c>
      <c r="F121" s="15" t="inlineStr">
        <is>
          <t>HRMS &gt; Attendance &gt; Shifts / Holidays / Settings</t>
        </is>
      </c>
      <c r="G121" s="15" t="inlineStr"/>
    </row>
    <row r="122">
      <c r="A122" s="15" t="n">
        <v>118</v>
      </c>
      <c r="B122" s="15" t="inlineStr">
        <is>
          <t>5. Attendance Configuration</t>
        </is>
      </c>
      <c r="C122" s="15" t="inlineStr">
        <is>
          <t>Absent</t>
        </is>
      </c>
      <c r="D122" s="15" t="inlineStr">
        <is>
          <t>No punch / minimum attendance conditions</t>
        </is>
      </c>
      <c r="E122" s="15" t="inlineStr">
        <is>
          <t>Built</t>
        </is>
      </c>
      <c r="F122" s="15" t="inlineStr">
        <is>
          <t>HRMS &gt; Attendance &gt; Shifts / Holidays / Settings</t>
        </is>
      </c>
      <c r="G122" s="15" t="inlineStr"/>
    </row>
    <row r="123">
      <c r="A123" s="15" t="n">
        <v>119</v>
      </c>
      <c r="B123" s="15" t="inlineStr">
        <is>
          <t>5. Attendance Configuration</t>
        </is>
      </c>
      <c r="C123" s="15" t="inlineStr">
        <is>
          <t>Regularisation</t>
        </is>
      </c>
      <c r="D123" s="15" t="inlineStr">
        <is>
          <t>Allowed request window</t>
        </is>
      </c>
      <c r="E123" s="15" t="inlineStr">
        <is>
          <t>Built</t>
        </is>
      </c>
      <c r="F123" s="15" t="inlineStr">
        <is>
          <t>HRMS &gt; Attendance &gt; Shifts / Holidays / Settings</t>
        </is>
      </c>
      <c r="G123" s="15" t="inlineStr"/>
    </row>
    <row r="124">
      <c r="A124" s="15" t="n">
        <v>120</v>
      </c>
      <c r="B124" s="15" t="inlineStr">
        <is>
          <t>5. Attendance Configuration</t>
        </is>
      </c>
      <c r="C124" s="15" t="inlineStr">
        <is>
          <t>Regularisation</t>
        </is>
      </c>
      <c r="D124" s="15" t="inlineStr">
        <is>
          <t>Approval path</t>
        </is>
      </c>
      <c r="E124" s="15" t="inlineStr">
        <is>
          <t>Built</t>
        </is>
      </c>
      <c r="F124" s="15" t="inlineStr">
        <is>
          <t>HRMS &gt; Attendance &gt; Shifts / Holidays / Settings</t>
        </is>
      </c>
      <c r="G124" s="15" t="inlineStr">
        <is>
          <t>Manager then HR</t>
        </is>
      </c>
    </row>
    <row r="125">
      <c r="A125" s="15" t="n">
        <v>121</v>
      </c>
      <c r="B125" s="15" t="inlineStr">
        <is>
          <t>5. Attendance Configuration</t>
        </is>
      </c>
      <c r="C125" s="15" t="inlineStr">
        <is>
          <t>Regularisation</t>
        </is>
      </c>
      <c r="D125" s="15" t="inlineStr">
        <is>
          <t>Supporting evidence where required</t>
        </is>
      </c>
      <c r="E125" s="15" t="inlineStr">
        <is>
          <t>Built</t>
        </is>
      </c>
      <c r="F125" s="15" t="inlineStr">
        <is>
          <t>HRMS &gt; Attendance &gt; Shifts / Holidays / Settings</t>
        </is>
      </c>
      <c r="G125" s="15" t="inlineStr">
        <is>
          <t>DONE 24 Oct: evidence can be a file (stored securely, opened by a short-lived link) or a link / reference.</t>
        </is>
      </c>
    </row>
    <row r="126">
      <c r="A126" s="15" t="n">
        <v>122</v>
      </c>
      <c r="B126" s="15" t="inlineStr">
        <is>
          <t>5. Attendance Configuration</t>
        </is>
      </c>
      <c r="C126" s="15" t="inlineStr">
        <is>
          <t>Monthly Cut-off</t>
        </is>
      </c>
      <c r="D126" s="15" t="inlineStr">
        <is>
          <t>Attendance closing date</t>
        </is>
      </c>
      <c r="E126" s="15" t="inlineStr">
        <is>
          <t>Built</t>
        </is>
      </c>
      <c r="F126" s="15" t="inlineStr">
        <is>
          <t>HRMS &gt; Attendance &gt; Shifts / Holidays / Settings</t>
        </is>
      </c>
      <c r="G126" s="15" t="inlineStr">
        <is>
          <t>Closing day is enforced when the company turns on 'Enforce the cut-off'; later edits need the lock permission.</t>
        </is>
      </c>
    </row>
    <row r="127">
      <c r="A127" s="15" t="n">
        <v>123</v>
      </c>
      <c r="B127" s="15" t="inlineStr">
        <is>
          <t>5. Attendance Configuration</t>
        </is>
      </c>
      <c r="C127" s="15" t="inlineStr">
        <is>
          <t>Monthly Cut-off</t>
        </is>
      </c>
      <c r="D127" s="15" t="inlineStr">
        <is>
          <t>Payroll cut-off</t>
        </is>
      </c>
      <c r="E127" s="15" t="inlineStr">
        <is>
          <t>Built</t>
        </is>
      </c>
      <c r="F127" s="15" t="inlineStr">
        <is>
          <t>HRMS &gt; Attendance &gt; Shifts / Holidays / Settings</t>
        </is>
      </c>
      <c r="G127" s="15" t="inlineStr">
        <is>
          <t>DONE 24 Oct: payroll policy 'Enforce the input cut-off': after the cut-off day only a payroll approver changes inputs (off by default).</t>
        </is>
      </c>
    </row>
    <row r="128">
      <c r="A128" s="15" t="n">
        <v>124</v>
      </c>
      <c r="B128" s="15" t="inlineStr">
        <is>
          <t>5. Attendance Configuration</t>
        </is>
      </c>
      <c r="C128" s="15" t="inlineStr">
        <is>
          <t>Monthly Cut-off</t>
        </is>
      </c>
      <c r="D128" s="15" t="inlineStr">
        <is>
          <t>Lock authority</t>
        </is>
      </c>
      <c r="E128" s="15" t="inlineStr">
        <is>
          <t>Built</t>
        </is>
      </c>
      <c r="F128" s="15" t="inlineStr">
        <is>
          <t>HRMS &gt; Attendance &gt; Shifts / Holidays / Settings</t>
        </is>
      </c>
      <c r="G128" s="15" t="inlineStr">
        <is>
          <t>Attendance lock permission</t>
        </is>
      </c>
    </row>
    <row r="129">
      <c r="A129" s="15" t="n">
        <v>125</v>
      </c>
      <c r="B129" s="15" t="inlineStr">
        <is>
          <t>6. Daily Attendance Fields</t>
        </is>
      </c>
      <c r="C129" s="15" t="inlineStr">
        <is>
          <t>Identity</t>
        </is>
      </c>
      <c r="D129" s="15" t="inlineStr">
        <is>
          <t>Employee ID</t>
        </is>
      </c>
      <c r="E129" s="15" t="inlineStr">
        <is>
          <t>Built</t>
        </is>
      </c>
      <c r="F129" s="15" t="inlineStr">
        <is>
          <t>HRMS &gt; Attendance &gt; daily list / day details</t>
        </is>
      </c>
      <c r="G129" s="15" t="inlineStr"/>
    </row>
    <row r="130">
      <c r="A130" s="15" t="n">
        <v>126</v>
      </c>
      <c r="B130" s="15" t="inlineStr">
        <is>
          <t>6. Daily Attendance Fields</t>
        </is>
      </c>
      <c r="C130" s="15" t="inlineStr">
        <is>
          <t>Identity</t>
        </is>
      </c>
      <c r="D130" s="15" t="inlineStr">
        <is>
          <t>Employee Name</t>
        </is>
      </c>
      <c r="E130" s="15" t="inlineStr">
        <is>
          <t>Built</t>
        </is>
      </c>
      <c r="F130" s="15" t="inlineStr">
        <is>
          <t>HRMS &gt; Attendance &gt; daily list / day details</t>
        </is>
      </c>
      <c r="G130" s="15" t="inlineStr"/>
    </row>
    <row r="131">
      <c r="A131" s="15" t="n">
        <v>127</v>
      </c>
      <c r="B131" s="15" t="inlineStr">
        <is>
          <t>6. Daily Attendance Fields</t>
        </is>
      </c>
      <c r="C131" s="15" t="inlineStr">
        <is>
          <t>Identity</t>
        </is>
      </c>
      <c r="D131" s="15" t="inlineStr">
        <is>
          <t>Department</t>
        </is>
      </c>
      <c r="E131" s="15" t="inlineStr">
        <is>
          <t>Built</t>
        </is>
      </c>
      <c r="F131" s="15" t="inlineStr">
        <is>
          <t>HRMS &gt; Attendance &gt; daily list / day details</t>
        </is>
      </c>
      <c r="G131" s="15" t="inlineStr"/>
    </row>
    <row r="132">
      <c r="A132" s="15" t="n">
        <v>128</v>
      </c>
      <c r="B132" s="15" t="inlineStr">
        <is>
          <t>6. Daily Attendance Fields</t>
        </is>
      </c>
      <c r="C132" s="15" t="inlineStr">
        <is>
          <t>Identity</t>
        </is>
      </c>
      <c r="D132" s="15" t="inlineStr">
        <is>
          <t>Location</t>
        </is>
      </c>
      <c r="E132" s="15" t="inlineStr">
        <is>
          <t>Built</t>
        </is>
      </c>
      <c r="F132" s="15" t="inlineStr">
        <is>
          <t>HRMS &gt; Attendance &gt; daily list / day details</t>
        </is>
      </c>
      <c r="G132" s="15" t="inlineStr"/>
    </row>
    <row r="133">
      <c r="A133" s="15" t="n">
        <v>129</v>
      </c>
      <c r="B133" s="15" t="inlineStr">
        <is>
          <t>6. Daily Attendance Fields</t>
        </is>
      </c>
      <c r="C133" s="15" t="inlineStr">
        <is>
          <t>Date / Schedule</t>
        </is>
      </c>
      <c r="D133" s="15" t="inlineStr">
        <is>
          <t>Attendance Date</t>
        </is>
      </c>
      <c r="E133" s="15" t="inlineStr">
        <is>
          <t>Built</t>
        </is>
      </c>
      <c r="F133" s="15" t="inlineStr">
        <is>
          <t>HRMS &gt; Attendance &gt; daily list / day details</t>
        </is>
      </c>
      <c r="G133" s="15" t="inlineStr"/>
    </row>
    <row r="134">
      <c r="A134" s="15" t="n">
        <v>130</v>
      </c>
      <c r="B134" s="15" t="inlineStr">
        <is>
          <t>6. Daily Attendance Fields</t>
        </is>
      </c>
      <c r="C134" s="15" t="inlineStr">
        <is>
          <t>Date / Schedule</t>
        </is>
      </c>
      <c r="D134" s="15" t="inlineStr">
        <is>
          <t>Day</t>
        </is>
      </c>
      <c r="E134" s="15" t="inlineStr">
        <is>
          <t>Built</t>
        </is>
      </c>
      <c r="F134" s="15" t="inlineStr">
        <is>
          <t>HRMS &gt; Attendance &gt; daily list / day details</t>
        </is>
      </c>
      <c r="G134" s="15" t="inlineStr"/>
    </row>
    <row r="135">
      <c r="A135" s="15" t="n">
        <v>131</v>
      </c>
      <c r="B135" s="15" t="inlineStr">
        <is>
          <t>6. Daily Attendance Fields</t>
        </is>
      </c>
      <c r="C135" s="15" t="inlineStr">
        <is>
          <t>Date / Schedule</t>
        </is>
      </c>
      <c r="D135" s="15" t="inlineStr">
        <is>
          <t>Shift</t>
        </is>
      </c>
      <c r="E135" s="15" t="inlineStr">
        <is>
          <t>Built</t>
        </is>
      </c>
      <c r="F135" s="15" t="inlineStr">
        <is>
          <t>HRMS &gt; Attendance &gt; daily list / day details</t>
        </is>
      </c>
      <c r="G135" s="15" t="inlineStr"/>
    </row>
    <row r="136">
      <c r="A136" s="15" t="n">
        <v>132</v>
      </c>
      <c r="B136" s="15" t="inlineStr">
        <is>
          <t>6. Daily Attendance Fields</t>
        </is>
      </c>
      <c r="C136" s="15" t="inlineStr">
        <is>
          <t>Date / Schedule</t>
        </is>
      </c>
      <c r="D136" s="15" t="inlineStr">
        <is>
          <t>Scheduled In</t>
        </is>
      </c>
      <c r="E136" s="15" t="inlineStr">
        <is>
          <t>Built</t>
        </is>
      </c>
      <c r="F136" s="15" t="inlineStr">
        <is>
          <t>HRMS &gt; Attendance &gt; daily list / day details</t>
        </is>
      </c>
      <c r="G136" s="15" t="inlineStr"/>
    </row>
    <row r="137">
      <c r="A137" s="15" t="n">
        <v>133</v>
      </c>
      <c r="B137" s="15" t="inlineStr">
        <is>
          <t>6. Daily Attendance Fields</t>
        </is>
      </c>
      <c r="C137" s="15" t="inlineStr">
        <is>
          <t>Date / Schedule</t>
        </is>
      </c>
      <c r="D137" s="15" t="inlineStr">
        <is>
          <t>Scheduled Out</t>
        </is>
      </c>
      <c r="E137" s="15" t="inlineStr">
        <is>
          <t>Built</t>
        </is>
      </c>
      <c r="F137" s="15" t="inlineStr">
        <is>
          <t>HRMS &gt; Attendance &gt; daily list / day details</t>
        </is>
      </c>
      <c r="G137" s="15" t="inlineStr"/>
    </row>
    <row r="138">
      <c r="A138" s="15" t="n">
        <v>134</v>
      </c>
      <c r="B138" s="15" t="inlineStr">
        <is>
          <t>6. Daily Attendance Fields</t>
        </is>
      </c>
      <c r="C138" s="15" t="inlineStr">
        <is>
          <t>Actual</t>
        </is>
      </c>
      <c r="D138" s="15" t="inlineStr">
        <is>
          <t>Actual In</t>
        </is>
      </c>
      <c r="E138" s="15" t="inlineStr">
        <is>
          <t>Built</t>
        </is>
      </c>
      <c r="F138" s="15" t="inlineStr">
        <is>
          <t>HRMS &gt; Attendance &gt; daily list / day details</t>
        </is>
      </c>
      <c r="G138" s="15" t="inlineStr"/>
    </row>
    <row r="139">
      <c r="A139" s="15" t="n">
        <v>135</v>
      </c>
      <c r="B139" s="15" t="inlineStr">
        <is>
          <t>6. Daily Attendance Fields</t>
        </is>
      </c>
      <c r="C139" s="15" t="inlineStr">
        <is>
          <t>Actual</t>
        </is>
      </c>
      <c r="D139" s="15" t="inlineStr">
        <is>
          <t>Actual Out</t>
        </is>
      </c>
      <c r="E139" s="15" t="inlineStr">
        <is>
          <t>Built</t>
        </is>
      </c>
      <c r="F139" s="15" t="inlineStr">
        <is>
          <t>HRMS &gt; Attendance &gt; daily list / day details</t>
        </is>
      </c>
      <c r="G139" s="15" t="inlineStr"/>
    </row>
    <row r="140">
      <c r="A140" s="15" t="n">
        <v>136</v>
      </c>
      <c r="B140" s="15" t="inlineStr">
        <is>
          <t>6. Daily Attendance Fields</t>
        </is>
      </c>
      <c r="C140" s="15" t="inlineStr">
        <is>
          <t>Actual</t>
        </is>
      </c>
      <c r="D140" s="15" t="inlineStr">
        <is>
          <t>Attendance source / reference</t>
        </is>
      </c>
      <c r="E140" s="15" t="inlineStr">
        <is>
          <t>Built</t>
        </is>
      </c>
      <c r="F140" s="15" t="inlineStr">
        <is>
          <t>HRMS &gt; Attendance &gt; daily list / day details</t>
        </is>
      </c>
      <c r="G140" s="15" t="inlineStr"/>
    </row>
    <row r="141">
      <c r="A141" s="15" t="n">
        <v>137</v>
      </c>
      <c r="B141" s="15" t="inlineStr">
        <is>
          <t>6. Daily Attendance Fields</t>
        </is>
      </c>
      <c r="C141" s="15" t="inlineStr">
        <is>
          <t>Calculated</t>
        </is>
      </c>
      <c r="D141" s="15" t="inlineStr">
        <is>
          <t>Worked Hours</t>
        </is>
      </c>
      <c r="E141" s="15" t="inlineStr">
        <is>
          <t>Built</t>
        </is>
      </c>
      <c r="F141" s="15" t="inlineStr">
        <is>
          <t>HRMS &gt; Attendance &gt; daily list / day details</t>
        </is>
      </c>
      <c r="G141" s="15" t="inlineStr"/>
    </row>
    <row r="142">
      <c r="A142" s="15" t="n">
        <v>138</v>
      </c>
      <c r="B142" s="15" t="inlineStr">
        <is>
          <t>6. Daily Attendance Fields</t>
        </is>
      </c>
      <c r="C142" s="15" t="inlineStr">
        <is>
          <t>Calculated</t>
        </is>
      </c>
      <c r="D142" s="15" t="inlineStr">
        <is>
          <t>Payable Hours</t>
        </is>
      </c>
      <c r="E142" s="15" t="inlineStr">
        <is>
          <t>Built</t>
        </is>
      </c>
      <c r="F142" s="15" t="inlineStr">
        <is>
          <t>HRMS &gt; Attendance &gt; daily list / day details</t>
        </is>
      </c>
      <c r="G142" s="15" t="inlineStr"/>
    </row>
    <row r="143">
      <c r="A143" s="15" t="n">
        <v>139</v>
      </c>
      <c r="B143" s="15" t="inlineStr">
        <is>
          <t>6. Daily Attendance Fields</t>
        </is>
      </c>
      <c r="C143" s="15" t="inlineStr">
        <is>
          <t>Calculated</t>
        </is>
      </c>
      <c r="D143" s="15" t="inlineStr">
        <is>
          <t>Late Minutes</t>
        </is>
      </c>
      <c r="E143" s="15" t="inlineStr">
        <is>
          <t>Built</t>
        </is>
      </c>
      <c r="F143" s="15" t="inlineStr">
        <is>
          <t>HRMS &gt; Attendance &gt; daily list / day details</t>
        </is>
      </c>
      <c r="G143" s="15" t="inlineStr"/>
    </row>
    <row r="144">
      <c r="A144" s="15" t="n">
        <v>140</v>
      </c>
      <c r="B144" s="15" t="inlineStr">
        <is>
          <t>6. Daily Attendance Fields</t>
        </is>
      </c>
      <c r="C144" s="15" t="inlineStr">
        <is>
          <t>Calculated</t>
        </is>
      </c>
      <c r="D144" s="15" t="inlineStr">
        <is>
          <t>Early Minutes</t>
        </is>
      </c>
      <c r="E144" s="15" t="inlineStr">
        <is>
          <t>Built</t>
        </is>
      </c>
      <c r="F144" s="15" t="inlineStr">
        <is>
          <t>HRMS &gt; Attendance &gt; daily list / day details</t>
        </is>
      </c>
      <c r="G144" s="15" t="inlineStr"/>
    </row>
    <row r="145">
      <c r="A145" s="15" t="n">
        <v>141</v>
      </c>
      <c r="B145" s="15" t="inlineStr">
        <is>
          <t>6. Daily Attendance Fields</t>
        </is>
      </c>
      <c r="C145" s="15" t="inlineStr">
        <is>
          <t>Calculated</t>
        </is>
      </c>
      <c r="D145" s="15" t="inlineStr">
        <is>
          <t>Grace Applied</t>
        </is>
      </c>
      <c r="E145" s="15" t="inlineStr">
        <is>
          <t>Built</t>
        </is>
      </c>
      <c r="F145" s="15" t="inlineStr">
        <is>
          <t>HRMS &gt; Attendance &gt; daily list / day details</t>
        </is>
      </c>
      <c r="G145" s="15" t="inlineStr"/>
    </row>
    <row r="146">
      <c r="A146" s="15" t="n">
        <v>142</v>
      </c>
      <c r="B146" s="15" t="inlineStr">
        <is>
          <t>6. Daily Attendance Fields</t>
        </is>
      </c>
      <c r="C146" s="15" t="inlineStr">
        <is>
          <t>Status</t>
        </is>
      </c>
      <c r="D146" s="15" t="inlineStr">
        <is>
          <t>Present</t>
        </is>
      </c>
      <c r="E146" s="15" t="inlineStr">
        <is>
          <t>Built</t>
        </is>
      </c>
      <c r="F146" s="15" t="inlineStr">
        <is>
          <t>HRMS &gt; Attendance &gt; daily list / day details</t>
        </is>
      </c>
      <c r="G146" s="15" t="inlineStr"/>
    </row>
    <row r="147">
      <c r="A147" s="15" t="n">
        <v>143</v>
      </c>
      <c r="B147" s="15" t="inlineStr">
        <is>
          <t>6. Daily Attendance Fields</t>
        </is>
      </c>
      <c r="C147" s="15" t="inlineStr">
        <is>
          <t>Status</t>
        </is>
      </c>
      <c r="D147" s="15" t="inlineStr">
        <is>
          <t>Absent</t>
        </is>
      </c>
      <c r="E147" s="15" t="inlineStr">
        <is>
          <t>Built</t>
        </is>
      </c>
      <c r="F147" s="15" t="inlineStr">
        <is>
          <t>HRMS &gt; Attendance &gt; daily list / day details</t>
        </is>
      </c>
      <c r="G147" s="15" t="inlineStr"/>
    </row>
    <row r="148">
      <c r="A148" s="15" t="n">
        <v>144</v>
      </c>
      <c r="B148" s="15" t="inlineStr">
        <is>
          <t>6. Daily Attendance Fields</t>
        </is>
      </c>
      <c r="C148" s="15" t="inlineStr">
        <is>
          <t>Status</t>
        </is>
      </c>
      <c r="D148" s="15" t="inlineStr">
        <is>
          <t>Half Day</t>
        </is>
      </c>
      <c r="E148" s="15" t="inlineStr">
        <is>
          <t>Built</t>
        </is>
      </c>
      <c r="F148" s="15" t="inlineStr">
        <is>
          <t>HRMS &gt; Attendance &gt; daily list / day details</t>
        </is>
      </c>
      <c r="G148" s="15" t="inlineStr"/>
    </row>
    <row r="149">
      <c r="A149" s="15" t="n">
        <v>145</v>
      </c>
      <c r="B149" s="15" t="inlineStr">
        <is>
          <t>6. Daily Attendance Fields</t>
        </is>
      </c>
      <c r="C149" s="15" t="inlineStr">
        <is>
          <t>Status</t>
        </is>
      </c>
      <c r="D149" s="15" t="inlineStr">
        <is>
          <t>Weekly Off</t>
        </is>
      </c>
      <c r="E149" s="15" t="inlineStr">
        <is>
          <t>Built</t>
        </is>
      </c>
      <c r="F149" s="15" t="inlineStr">
        <is>
          <t>HRMS &gt; Attendance &gt; daily list / day details</t>
        </is>
      </c>
      <c r="G149" s="15" t="inlineStr"/>
    </row>
    <row r="150">
      <c r="A150" s="15" t="n">
        <v>146</v>
      </c>
      <c r="B150" s="15" t="inlineStr">
        <is>
          <t>6. Daily Attendance Fields</t>
        </is>
      </c>
      <c r="C150" s="15" t="inlineStr">
        <is>
          <t>Status</t>
        </is>
      </c>
      <c r="D150" s="15" t="inlineStr">
        <is>
          <t>Holiday</t>
        </is>
      </c>
      <c r="E150" s="15" t="inlineStr">
        <is>
          <t>Built</t>
        </is>
      </c>
      <c r="F150" s="15" t="inlineStr">
        <is>
          <t>HRMS &gt; Attendance &gt; daily list / day details</t>
        </is>
      </c>
      <c r="G150" s="15" t="inlineStr"/>
    </row>
    <row r="151">
      <c r="A151" s="15" t="n">
        <v>147</v>
      </c>
      <c r="B151" s="15" t="inlineStr">
        <is>
          <t>6. Daily Attendance Fields</t>
        </is>
      </c>
      <c r="C151" s="15" t="inlineStr">
        <is>
          <t>Status</t>
        </is>
      </c>
      <c r="D151" s="15" t="inlineStr">
        <is>
          <t>Leave</t>
        </is>
      </c>
      <c r="E151" s="15" t="inlineStr">
        <is>
          <t>Built</t>
        </is>
      </c>
      <c r="F151" s="15" t="inlineStr">
        <is>
          <t>HRMS &gt; Attendance &gt; daily list / day details</t>
        </is>
      </c>
      <c r="G151" s="15" t="inlineStr"/>
    </row>
    <row r="152">
      <c r="A152" s="15" t="n">
        <v>148</v>
      </c>
      <c r="B152" s="15" t="inlineStr">
        <is>
          <t>6. Daily Attendance Fields</t>
        </is>
      </c>
      <c r="C152" s="15" t="inlineStr">
        <is>
          <t>Status</t>
        </is>
      </c>
      <c r="D152" s="15" t="inlineStr">
        <is>
          <t>OD</t>
        </is>
      </c>
      <c r="E152" s="15" t="inlineStr">
        <is>
          <t>Built</t>
        </is>
      </c>
      <c r="F152" s="15" t="inlineStr">
        <is>
          <t>HRMS &gt; Attendance &gt; daily list / day details</t>
        </is>
      </c>
      <c r="G152" s="15" t="inlineStr"/>
    </row>
    <row r="153">
      <c r="A153" s="15" t="n">
        <v>149</v>
      </c>
      <c r="B153" s="15" t="inlineStr">
        <is>
          <t>6. Daily Attendance Fields</t>
        </is>
      </c>
      <c r="C153" s="15" t="inlineStr">
        <is>
          <t>Correction</t>
        </is>
      </c>
      <c r="D153" s="15" t="inlineStr">
        <is>
          <t>Regularisation flag</t>
        </is>
      </c>
      <c r="E153" s="15" t="inlineStr">
        <is>
          <t>Built</t>
        </is>
      </c>
      <c r="F153" s="15" t="inlineStr">
        <is>
          <t>HRMS &gt; Attendance &gt; daily list / day details</t>
        </is>
      </c>
      <c r="G153" s="15" t="inlineStr"/>
    </row>
    <row r="154">
      <c r="A154" s="15" t="n">
        <v>150</v>
      </c>
      <c r="B154" s="15" t="inlineStr">
        <is>
          <t>6. Daily Attendance Fields</t>
        </is>
      </c>
      <c r="C154" s="15" t="inlineStr">
        <is>
          <t>Correction</t>
        </is>
      </c>
      <c r="D154" s="15" t="inlineStr">
        <is>
          <t>Proposed In / Out</t>
        </is>
      </c>
      <c r="E154" s="15" t="inlineStr">
        <is>
          <t>Built</t>
        </is>
      </c>
      <c r="F154" s="15" t="inlineStr">
        <is>
          <t>HRMS &gt; Attendance &gt; daily list / day details</t>
        </is>
      </c>
      <c r="G154" s="15" t="inlineStr"/>
    </row>
    <row r="155">
      <c r="A155" s="15" t="n">
        <v>151</v>
      </c>
      <c r="B155" s="15" t="inlineStr">
        <is>
          <t>6. Daily Attendance Fields</t>
        </is>
      </c>
      <c r="C155" s="15" t="inlineStr">
        <is>
          <t>Correction</t>
        </is>
      </c>
      <c r="D155" s="15" t="inlineStr">
        <is>
          <t>Reason</t>
        </is>
      </c>
      <c r="E155" s="15" t="inlineStr">
        <is>
          <t>Built</t>
        </is>
      </c>
      <c r="F155" s="15" t="inlineStr">
        <is>
          <t>HRMS &gt; Attendance &gt; daily list / day details</t>
        </is>
      </c>
      <c r="G155" s="15" t="inlineStr"/>
    </row>
    <row r="156">
      <c r="A156" s="15" t="n">
        <v>152</v>
      </c>
      <c r="B156" s="15" t="inlineStr">
        <is>
          <t>6. Daily Attendance Fields</t>
        </is>
      </c>
      <c r="C156" s="15" t="inlineStr">
        <is>
          <t>Approval</t>
        </is>
      </c>
      <c r="D156" s="15" t="inlineStr">
        <is>
          <t>Manager Status</t>
        </is>
      </c>
      <c r="E156" s="15" t="inlineStr">
        <is>
          <t>Built</t>
        </is>
      </c>
      <c r="F156" s="15" t="inlineStr">
        <is>
          <t>HRMS &gt; Attendance &gt; daily list / day details</t>
        </is>
      </c>
      <c r="G156" s="15" t="inlineStr"/>
    </row>
    <row r="157">
      <c r="A157" s="15" t="n">
        <v>153</v>
      </c>
      <c r="B157" s="15" t="inlineStr">
        <is>
          <t>6. Daily Attendance Fields</t>
        </is>
      </c>
      <c r="C157" s="15" t="inlineStr">
        <is>
          <t>Approval</t>
        </is>
      </c>
      <c r="D157" s="15" t="inlineStr">
        <is>
          <t>HR Status</t>
        </is>
      </c>
      <c r="E157" s="15" t="inlineStr">
        <is>
          <t>Built</t>
        </is>
      </c>
      <c r="F157" s="15" t="inlineStr">
        <is>
          <t>HRMS &gt; Attendance &gt; daily list / day details</t>
        </is>
      </c>
      <c r="G157" s="15" t="inlineStr"/>
    </row>
    <row r="158">
      <c r="A158" s="15" t="n">
        <v>154</v>
      </c>
      <c r="B158" s="15" t="inlineStr">
        <is>
          <t>6. Daily Attendance Fields</t>
        </is>
      </c>
      <c r="C158" s="15" t="inlineStr">
        <is>
          <t>Approval</t>
        </is>
      </c>
      <c r="D158" s="15" t="inlineStr">
        <is>
          <t>Approver comments</t>
        </is>
      </c>
      <c r="E158" s="15" t="inlineStr">
        <is>
          <t>Built</t>
        </is>
      </c>
      <c r="F158" s="15" t="inlineStr">
        <is>
          <t>HRMS &gt; Attendance &gt; daily list / day details</t>
        </is>
      </c>
      <c r="G158" s="15" t="inlineStr"/>
    </row>
    <row r="159">
      <c r="A159" s="15" t="n">
        <v>155</v>
      </c>
      <c r="B159" s="15" t="inlineStr">
        <is>
          <t>6. Daily Attendance Fields</t>
        </is>
      </c>
      <c r="C159" s="15" t="inlineStr">
        <is>
          <t>Payroll</t>
        </is>
      </c>
      <c r="D159" s="15" t="inlineStr">
        <is>
          <t>Final Approved Status</t>
        </is>
      </c>
      <c r="E159" s="15" t="inlineStr">
        <is>
          <t>Built</t>
        </is>
      </c>
      <c r="F159" s="15" t="inlineStr">
        <is>
          <t>HRMS &gt; Attendance &gt; daily list / day details</t>
        </is>
      </c>
      <c r="G159" s="15" t="inlineStr"/>
    </row>
    <row r="160">
      <c r="A160" s="15" t="n">
        <v>156</v>
      </c>
      <c r="B160" s="15" t="inlineStr">
        <is>
          <t>6. Daily Attendance Fields</t>
        </is>
      </c>
      <c r="C160" s="15" t="inlineStr">
        <is>
          <t>Payroll</t>
        </is>
      </c>
      <c r="D160" s="15" t="inlineStr">
        <is>
          <t>Payable Day</t>
        </is>
      </c>
      <c r="E160" s="15" t="inlineStr">
        <is>
          <t>Built</t>
        </is>
      </c>
      <c r="F160" s="15" t="inlineStr">
        <is>
          <t>HRMS &gt; Attendance &gt; daily list / day details</t>
        </is>
      </c>
      <c r="G160" s="15" t="inlineStr"/>
    </row>
    <row r="161">
      <c r="A161" s="15" t="n">
        <v>157</v>
      </c>
      <c r="B161" s="15" t="inlineStr">
        <is>
          <t>6. Daily Attendance Fields</t>
        </is>
      </c>
      <c r="C161" s="15" t="inlineStr">
        <is>
          <t>Payroll</t>
        </is>
      </c>
      <c r="D161" s="15" t="inlineStr">
        <is>
          <t>LOP Day / Fraction</t>
        </is>
      </c>
      <c r="E161" s="15" t="inlineStr">
        <is>
          <t>Built</t>
        </is>
      </c>
      <c r="F161" s="15" t="inlineStr">
        <is>
          <t>HRMS &gt; Attendance &gt; daily list / day details</t>
        </is>
      </c>
      <c r="G161" s="15" t="inlineStr"/>
    </row>
    <row r="162">
      <c r="A162" s="15" t="n">
        <v>158</v>
      </c>
      <c r="B162" s="15" t="inlineStr">
        <is>
          <t>6. Daily Attendance Fields</t>
        </is>
      </c>
      <c r="C162" s="15" t="inlineStr">
        <is>
          <t>Lock</t>
        </is>
      </c>
      <c r="D162" s="15" t="inlineStr">
        <is>
          <t>Locked Flag</t>
        </is>
      </c>
      <c r="E162" s="15" t="inlineStr">
        <is>
          <t>Built</t>
        </is>
      </c>
      <c r="F162" s="15" t="inlineStr">
        <is>
          <t>HRMS &gt; Attendance &gt; daily list / day details</t>
        </is>
      </c>
      <c r="G162" s="15" t="inlineStr"/>
    </row>
    <row r="163">
      <c r="A163" s="15" t="n">
        <v>159</v>
      </c>
      <c r="B163" s="15" t="inlineStr">
        <is>
          <t>6. Daily Attendance Fields</t>
        </is>
      </c>
      <c r="C163" s="15" t="inlineStr">
        <is>
          <t>Lock</t>
        </is>
      </c>
      <c r="D163" s="15" t="inlineStr">
        <is>
          <t>Locked By</t>
        </is>
      </c>
      <c r="E163" s="15" t="inlineStr">
        <is>
          <t>Built</t>
        </is>
      </c>
      <c r="F163" s="15" t="inlineStr">
        <is>
          <t>HRMS &gt; Attendance &gt; daily list / day details</t>
        </is>
      </c>
      <c r="G163" s="15" t="inlineStr"/>
    </row>
    <row r="164">
      <c r="A164" s="15" t="n">
        <v>160</v>
      </c>
      <c r="B164" s="15" t="inlineStr">
        <is>
          <t>6. Daily Attendance Fields</t>
        </is>
      </c>
      <c r="C164" s="15" t="inlineStr">
        <is>
          <t>Lock</t>
        </is>
      </c>
      <c r="D164" s="15" t="inlineStr">
        <is>
          <t>Locked Date</t>
        </is>
      </c>
      <c r="E164" s="15" t="inlineStr">
        <is>
          <t>Built</t>
        </is>
      </c>
      <c r="F164" s="15" t="inlineStr">
        <is>
          <t>HRMS &gt; Attendance &gt; daily list / day details</t>
        </is>
      </c>
      <c r="G164" s="15" t="inlineStr"/>
    </row>
    <row r="165">
      <c r="A165" s="15" t="n">
        <v>161</v>
      </c>
      <c r="B165" s="15" t="inlineStr">
        <is>
          <t>6. Daily Attendance Fields</t>
        </is>
      </c>
      <c r="C165" s="15" t="inlineStr">
        <is>
          <t>Audit</t>
        </is>
      </c>
      <c r="D165" s="15" t="inlineStr">
        <is>
          <t>Original / raw values</t>
        </is>
      </c>
      <c r="E165" s="15" t="inlineStr">
        <is>
          <t>Built</t>
        </is>
      </c>
      <c r="F165" s="15" t="inlineStr">
        <is>
          <t>HRMS &gt; Attendance &gt; daily list / day details</t>
        </is>
      </c>
      <c r="G165" s="15" t="inlineStr"/>
    </row>
    <row r="166">
      <c r="A166" s="15" t="n">
        <v>162</v>
      </c>
      <c r="B166" s="15" t="inlineStr">
        <is>
          <t>6. Daily Attendance Fields</t>
        </is>
      </c>
      <c r="C166" s="15" t="inlineStr">
        <is>
          <t>Audit</t>
        </is>
      </c>
      <c r="D166" s="15" t="inlineStr">
        <is>
          <t>Corrected values</t>
        </is>
      </c>
      <c r="E166" s="15" t="inlineStr">
        <is>
          <t>Built</t>
        </is>
      </c>
      <c r="F166" s="15" t="inlineStr">
        <is>
          <t>HRMS &gt; Attendance &gt; daily list / day details</t>
        </is>
      </c>
      <c r="G166" s="15" t="inlineStr"/>
    </row>
    <row r="167">
      <c r="A167" s="15" t="n">
        <v>163</v>
      </c>
      <c r="B167" s="15" t="inlineStr">
        <is>
          <t>6. Daily Attendance Fields</t>
        </is>
      </c>
      <c r="C167" s="15" t="inlineStr">
        <is>
          <t>Audit</t>
        </is>
      </c>
      <c r="D167" s="15" t="inlineStr">
        <is>
          <t>Source and modification history</t>
        </is>
      </c>
      <c r="E167" s="15" t="inlineStr">
        <is>
          <t>Built</t>
        </is>
      </c>
      <c r="F167" s="15" t="inlineStr">
        <is>
          <t>HRMS &gt; Attendance &gt; daily list / day details</t>
        </is>
      </c>
      <c r="G167" s="15" t="inlineStr"/>
    </row>
    <row r="168">
      <c r="A168" s="15" t="n">
        <v>164</v>
      </c>
      <c r="B168" s="15" t="inlineStr">
        <is>
          <t>6. Daily Attendance Fields</t>
        </is>
      </c>
      <c r="C168" s="15" t="inlineStr">
        <is>
          <t>Correction</t>
        </is>
      </c>
      <c r="D168" s="15" t="inlineStr">
        <is>
          <t>Attachment / evidence</t>
        </is>
      </c>
      <c r="E168" s="15" t="inlineStr">
        <is>
          <t>Built</t>
        </is>
      </c>
      <c r="F168" s="15" t="inlineStr">
        <is>
          <t>HRMS &gt; Attendance &gt; Regularisation</t>
        </is>
      </c>
      <c r="G168" s="15" t="inlineStr">
        <is>
          <t>DONE 24 Oct: regularisation accepts an evidence file attachment.</t>
        </is>
      </c>
    </row>
    <row r="169">
      <c r="A169" s="15" t="n">
        <v>165</v>
      </c>
      <c r="B169" s="15" t="inlineStr">
        <is>
          <t>8. Attendance Processing &amp; Monthly Closure</t>
        </is>
      </c>
      <c r="C169" s="15" t="inlineStr">
        <is>
          <t>Process</t>
        </is>
      </c>
      <c r="D169" s="15" t="inlineStr">
        <is>
          <t>Approved OD / leave / regularisation applied before final status</t>
        </is>
      </c>
      <c r="E169" s="15" t="inlineStr">
        <is>
          <t>Built</t>
        </is>
      </c>
      <c r="F169" s="15" t="inlineStr">
        <is>
          <t>HRMS &gt; Attendance &gt; Monthly Closure / Payroll</t>
        </is>
      </c>
      <c r="G169" s="15" t="inlineStr"/>
    </row>
    <row r="170">
      <c r="A170" s="15" t="n">
        <v>166</v>
      </c>
      <c r="B170" s="15" t="inlineStr">
        <is>
          <t>8. Attendance Processing &amp; Monthly Closure</t>
        </is>
      </c>
      <c r="C170" s="15" t="inlineStr">
        <is>
          <t>Process</t>
        </is>
      </c>
      <c r="D170" s="15" t="inlineStr">
        <is>
          <t>HR resolves pending exceptions at month-end</t>
        </is>
      </c>
      <c r="E170" s="15" t="inlineStr">
        <is>
          <t>Built</t>
        </is>
      </c>
      <c r="F170" s="15" t="inlineStr">
        <is>
          <t>HRMS &gt; Attendance &gt; Monthly Closure / Payroll</t>
        </is>
      </c>
      <c r="G170" s="15" t="inlineStr">
        <is>
          <t>Closure dashboard counts open items</t>
        </is>
      </c>
    </row>
    <row r="171">
      <c r="A171" s="15" t="n">
        <v>167</v>
      </c>
      <c r="B171" s="15" t="inlineStr">
        <is>
          <t>8. Attendance Processing &amp; Monthly Closure</t>
        </is>
      </c>
      <c r="C171" s="15" t="inlineStr">
        <is>
          <t>Process</t>
        </is>
      </c>
      <c r="D171" s="15" t="inlineStr">
        <is>
          <t>Payable days and LOP calculated</t>
        </is>
      </c>
      <c r="E171" s="15" t="inlineStr">
        <is>
          <t>Built</t>
        </is>
      </c>
      <c r="F171" s="15" t="inlineStr">
        <is>
          <t>HRMS &gt; Attendance &gt; Monthly Closure / Payroll</t>
        </is>
      </c>
      <c r="G171" s="15" t="inlineStr"/>
    </row>
    <row r="172">
      <c r="A172" s="15" t="n">
        <v>168</v>
      </c>
      <c r="B172" s="15" t="inlineStr">
        <is>
          <t>8. Attendance Processing &amp; Monthly Closure</t>
        </is>
      </c>
      <c r="C172" s="15" t="inlineStr">
        <is>
          <t>Process</t>
        </is>
      </c>
      <c r="D172" s="15" t="inlineStr">
        <is>
          <t>Attendance snapshot locked</t>
        </is>
      </c>
      <c r="E172" s="15" t="inlineStr">
        <is>
          <t>Built</t>
        </is>
      </c>
      <c r="F172" s="15" t="inlineStr">
        <is>
          <t>HRMS &gt; Attendance &gt; Monthly Closure / Payroll</t>
        </is>
      </c>
      <c r="G172" s="15" t="inlineStr">
        <is>
          <t>Locking with open items needs a reason</t>
        </is>
      </c>
    </row>
    <row r="173">
      <c r="A173" s="15" t="n">
        <v>169</v>
      </c>
      <c r="B173" s="15" t="inlineStr">
        <is>
          <t>8. Attendance Processing &amp; Monthly Closure</t>
        </is>
      </c>
      <c r="C173" s="15" t="inlineStr">
        <is>
          <t>Process</t>
        </is>
      </c>
      <c r="D173" s="15" t="inlineStr">
        <is>
          <t>Post-lock changes as authorised adjustments</t>
        </is>
      </c>
      <c r="E173" s="15" t="inlineStr">
        <is>
          <t>Built</t>
        </is>
      </c>
      <c r="F173" s="15" t="inlineStr">
        <is>
          <t>HRMS &gt; Attendance &gt; Monthly Closure / Payroll</t>
        </is>
      </c>
      <c r="G173" s="15" t="inlineStr">
        <is>
          <t>Unlock refused once payroll is locked; arrear / recovery adjustments</t>
        </is>
      </c>
    </row>
    <row r="174">
      <c r="A174" s="15" t="n">
        <v>170</v>
      </c>
      <c r="B174" s="15" t="inlineStr">
        <is>
          <t>9. Salary Structure Fields</t>
        </is>
      </c>
      <c r="C174" s="15" t="inlineStr">
        <is>
          <t>Employee</t>
        </is>
      </c>
      <c r="D174" s="15" t="inlineStr">
        <is>
          <t>Employee ID</t>
        </is>
      </c>
      <c r="E174" s="15" t="inlineStr">
        <is>
          <t>Built</t>
        </is>
      </c>
      <c r="F174" s="15" t="inlineStr">
        <is>
          <t>HRMS &gt; Payroll &gt; Salary Structure</t>
        </is>
      </c>
      <c r="G174" s="15" t="inlineStr"/>
    </row>
    <row r="175">
      <c r="A175" s="15" t="n">
        <v>171</v>
      </c>
      <c r="B175" s="15" t="inlineStr">
        <is>
          <t>9. Salary Structure Fields</t>
        </is>
      </c>
      <c r="C175" s="15" t="inlineStr">
        <is>
          <t>Employee</t>
        </is>
      </c>
      <c r="D175" s="15" t="inlineStr">
        <is>
          <t>Employee Name</t>
        </is>
      </c>
      <c r="E175" s="15" t="inlineStr">
        <is>
          <t>Built</t>
        </is>
      </c>
      <c r="F175" s="15" t="inlineStr">
        <is>
          <t>HRMS &gt; Payroll &gt; Salary Structure</t>
        </is>
      </c>
      <c r="G175" s="15" t="inlineStr"/>
    </row>
    <row r="176">
      <c r="A176" s="15" t="n">
        <v>172</v>
      </c>
      <c r="B176" s="15" t="inlineStr">
        <is>
          <t>9. Salary Structure Fields</t>
        </is>
      </c>
      <c r="C176" s="15" t="inlineStr">
        <is>
          <t>Employee</t>
        </is>
      </c>
      <c r="D176" s="15" t="inlineStr">
        <is>
          <t>Payroll Group</t>
        </is>
      </c>
      <c r="E176" s="15" t="inlineStr">
        <is>
          <t>Built</t>
        </is>
      </c>
      <c r="F176" s="15" t="inlineStr">
        <is>
          <t>HRMS &gt; Payroll &gt; Salary Structure</t>
        </is>
      </c>
      <c r="G176" s="15" t="inlineStr"/>
    </row>
    <row r="177">
      <c r="A177" s="15" t="n">
        <v>173</v>
      </c>
      <c r="B177" s="15" t="inlineStr">
        <is>
          <t>9. Salary Structure Fields</t>
        </is>
      </c>
      <c r="C177" s="15" t="inlineStr">
        <is>
          <t>Effective Dating</t>
        </is>
      </c>
      <c r="D177" s="15" t="inlineStr">
        <is>
          <t>Effective From</t>
        </is>
      </c>
      <c r="E177" s="15" t="inlineStr">
        <is>
          <t>Built</t>
        </is>
      </c>
      <c r="F177" s="15" t="inlineStr">
        <is>
          <t>HRMS &gt; Payroll &gt; Salary Structure</t>
        </is>
      </c>
      <c r="G177" s="15" t="inlineStr"/>
    </row>
    <row r="178">
      <c r="A178" s="15" t="n">
        <v>174</v>
      </c>
      <c r="B178" s="15" t="inlineStr">
        <is>
          <t>9. Salary Structure Fields</t>
        </is>
      </c>
      <c r="C178" s="15" t="inlineStr">
        <is>
          <t>Effective Dating</t>
        </is>
      </c>
      <c r="D178" s="15" t="inlineStr">
        <is>
          <t>Effective To</t>
        </is>
      </c>
      <c r="E178" s="15" t="inlineStr">
        <is>
          <t>Built</t>
        </is>
      </c>
      <c r="F178" s="15" t="inlineStr">
        <is>
          <t>HRMS &gt; Payroll &gt; Salary Structure</t>
        </is>
      </c>
      <c r="G178" s="15" t="inlineStr">
        <is>
          <t>Derived from the next revision</t>
        </is>
      </c>
    </row>
    <row r="179">
      <c r="A179" s="15" t="n">
        <v>175</v>
      </c>
      <c r="B179" s="15" t="inlineStr">
        <is>
          <t>9. Salary Structure Fields</t>
        </is>
      </c>
      <c r="C179" s="15" t="inlineStr">
        <is>
          <t>Effective Dating</t>
        </is>
      </c>
      <c r="D179" s="15" t="inlineStr">
        <is>
          <t>Status</t>
        </is>
      </c>
      <c r="E179" s="15" t="inlineStr">
        <is>
          <t>Built</t>
        </is>
      </c>
      <c r="F179" s="15" t="inlineStr">
        <is>
          <t>HRMS &gt; Payroll &gt; Salary Structure</t>
        </is>
      </c>
      <c r="G179" s="15" t="inlineStr">
        <is>
          <t>Pending Approval / Active / Rejected</t>
        </is>
      </c>
    </row>
    <row r="180">
      <c r="A180" s="15" t="n">
        <v>176</v>
      </c>
      <c r="B180" s="15" t="inlineStr">
        <is>
          <t>9. Salary Structure Fields</t>
        </is>
      </c>
      <c r="C180" s="15" t="inlineStr">
        <is>
          <t>Salary Structure</t>
        </is>
      </c>
      <c r="D180" s="15" t="inlineStr">
        <is>
          <t>Structure Name / Template</t>
        </is>
      </c>
      <c r="E180" s="15" t="inlineStr">
        <is>
          <t>Built</t>
        </is>
      </c>
      <c r="F180" s="15" t="inlineStr">
        <is>
          <t>HRMS &gt; Payroll &gt; Salary Structure</t>
        </is>
      </c>
      <c r="G180" s="15" t="inlineStr"/>
    </row>
    <row r="181">
      <c r="A181" s="15" t="n">
        <v>177</v>
      </c>
      <c r="B181" s="15" t="inlineStr">
        <is>
          <t>9. Salary Structure Fields</t>
        </is>
      </c>
      <c r="C181" s="15" t="inlineStr">
        <is>
          <t>Salary Structure</t>
        </is>
      </c>
      <c r="D181" s="15" t="inlineStr">
        <is>
          <t>Revision reason</t>
        </is>
      </c>
      <c r="E181" s="15" t="inlineStr">
        <is>
          <t>Built</t>
        </is>
      </c>
      <c r="F181" s="15" t="inlineStr">
        <is>
          <t>HRMS &gt; Payroll &gt; Salary Structure</t>
        </is>
      </c>
      <c r="G181" s="15" t="inlineStr"/>
    </row>
    <row r="182">
      <c r="A182" s="15" t="n">
        <v>178</v>
      </c>
      <c r="B182" s="15" t="inlineStr">
        <is>
          <t>9. Salary Structure Fields</t>
        </is>
      </c>
      <c r="C182" s="15" t="inlineStr">
        <is>
          <t>Annual / Monthly</t>
        </is>
      </c>
      <c r="D182" s="15" t="inlineStr">
        <is>
          <t>Annual CTC</t>
        </is>
      </c>
      <c r="E182" s="15" t="inlineStr">
        <is>
          <t>Built</t>
        </is>
      </c>
      <c r="F182" s="15" t="inlineStr">
        <is>
          <t>HRMS &gt; Payroll &gt; Salary Structure</t>
        </is>
      </c>
      <c r="G182" s="15" t="inlineStr"/>
    </row>
    <row r="183">
      <c r="A183" s="15" t="n">
        <v>179</v>
      </c>
      <c r="B183" s="15" t="inlineStr">
        <is>
          <t>9. Salary Structure Fields</t>
        </is>
      </c>
      <c r="C183" s="15" t="inlineStr">
        <is>
          <t>Annual / Monthly</t>
        </is>
      </c>
      <c r="D183" s="15" t="inlineStr">
        <is>
          <t>Monthly Gross</t>
        </is>
      </c>
      <c r="E183" s="15" t="inlineStr">
        <is>
          <t>Built</t>
        </is>
      </c>
      <c r="F183" s="15" t="inlineStr">
        <is>
          <t>HRMS &gt; Payroll &gt; Salary Structure</t>
        </is>
      </c>
      <c r="G183" s="15" t="inlineStr"/>
    </row>
    <row r="184">
      <c r="A184" s="15" t="n">
        <v>180</v>
      </c>
      <c r="B184" s="15" t="inlineStr">
        <is>
          <t>9. Salary Structure Fields</t>
        </is>
      </c>
      <c r="C184" s="15" t="inlineStr">
        <is>
          <t>Earnings</t>
        </is>
      </c>
      <c r="D184" s="15" t="inlineStr">
        <is>
          <t>Basic; HRA; approved allowances</t>
        </is>
      </c>
      <c r="E184" s="15" t="inlineStr">
        <is>
          <t>Built</t>
        </is>
      </c>
      <c r="F184" s="15" t="inlineStr">
        <is>
          <t>HRMS &gt; Payroll &gt; Salary Structure</t>
        </is>
      </c>
      <c r="G184" s="15" t="inlineStr">
        <is>
          <t>Configurable components (no fixed list)</t>
        </is>
      </c>
    </row>
    <row r="185">
      <c r="A185" s="15" t="n">
        <v>181</v>
      </c>
      <c r="B185" s="15" t="inlineStr">
        <is>
          <t>9. Salary Structure Fields</t>
        </is>
      </c>
      <c r="C185" s="15" t="inlineStr">
        <is>
          <t>Earnings</t>
        </is>
      </c>
      <c r="D185" s="15" t="inlineStr">
        <is>
          <t>Reimbursement</t>
        </is>
      </c>
      <c r="E185" s="15" t="inlineStr">
        <is>
          <t>Built</t>
        </is>
      </c>
      <c r="F185" s="15" t="inlineStr">
        <is>
          <t>HRMS &gt; Payroll &gt; Salary Structure</t>
        </is>
      </c>
      <c r="G185" s="15" t="inlineStr"/>
    </row>
    <row r="186">
      <c r="A186" s="15" t="n">
        <v>182</v>
      </c>
      <c r="B186" s="15" t="inlineStr">
        <is>
          <t>9. Salary Structure Fields</t>
        </is>
      </c>
      <c r="C186" s="15" t="inlineStr">
        <is>
          <t>Earnings</t>
        </is>
      </c>
      <c r="D186" s="15" t="inlineStr">
        <is>
          <t>Arrears</t>
        </is>
      </c>
      <c r="E186" s="15" t="inlineStr">
        <is>
          <t>Built</t>
        </is>
      </c>
      <c r="F186" s="15" t="inlineStr">
        <is>
          <t>HRMS &gt; Payroll &gt; Salary Structure</t>
        </is>
      </c>
      <c r="G186" s="15" t="inlineStr">
        <is>
          <t>Monthly payroll input</t>
        </is>
      </c>
    </row>
    <row r="187">
      <c r="A187" s="15" t="n">
        <v>183</v>
      </c>
      <c r="B187" s="15" t="inlineStr">
        <is>
          <t>9. Salary Structure Fields</t>
        </is>
      </c>
      <c r="C187" s="15" t="inlineStr">
        <is>
          <t>Earnings</t>
        </is>
      </c>
      <c r="D187" s="15" t="inlineStr">
        <is>
          <t>Variable / other earnings</t>
        </is>
      </c>
      <c r="E187" s="15" t="inlineStr">
        <is>
          <t>Built</t>
        </is>
      </c>
      <c r="F187" s="15" t="inlineStr">
        <is>
          <t>HRMS &gt; Payroll &gt; Salary Structure</t>
        </is>
      </c>
      <c r="G187" s="15" t="inlineStr"/>
    </row>
    <row r="188">
      <c r="A188" s="15" t="n">
        <v>184</v>
      </c>
      <c r="B188" s="15" t="inlineStr">
        <is>
          <t>9. Salary Structure Fields</t>
        </is>
      </c>
      <c r="C188" s="15" t="inlineStr">
        <is>
          <t>Earnings</t>
        </is>
      </c>
      <c r="D188" s="15" t="inlineStr">
        <is>
          <t>Bonus where applicable</t>
        </is>
      </c>
      <c r="E188" s="15" t="inlineStr">
        <is>
          <t>Built</t>
        </is>
      </c>
      <c r="F188" s="15" t="inlineStr">
        <is>
          <t>HRMS &gt; Payroll &gt; Salary Structure</t>
        </is>
      </c>
      <c r="G188" s="15" t="inlineStr">
        <is>
          <t>Monthly payroll input</t>
        </is>
      </c>
    </row>
    <row r="189">
      <c r="A189" s="15" t="n">
        <v>185</v>
      </c>
      <c r="B189" s="15" t="inlineStr">
        <is>
          <t>9. Salary Structure Fields</t>
        </is>
      </c>
      <c r="C189" s="15" t="inlineStr">
        <is>
          <t>Deductions</t>
        </is>
      </c>
      <c r="D189" s="15" t="inlineStr">
        <is>
          <t>LOP</t>
        </is>
      </c>
      <c r="E189" s="15" t="inlineStr">
        <is>
          <t>Built</t>
        </is>
      </c>
      <c r="F189" s="15" t="inlineStr">
        <is>
          <t>HRMS &gt; Payroll &gt; Salary Structure</t>
        </is>
      </c>
      <c r="G189" s="15" t="inlineStr">
        <is>
          <t>Applied by proration of earnings on payable days</t>
        </is>
      </c>
    </row>
    <row r="190">
      <c r="A190" s="15" t="n">
        <v>186</v>
      </c>
      <c r="B190" s="15" t="inlineStr">
        <is>
          <t>9. Salary Structure Fields</t>
        </is>
      </c>
      <c r="C190" s="15" t="inlineStr">
        <is>
          <t>Deductions</t>
        </is>
      </c>
      <c r="D190" s="15" t="inlineStr">
        <is>
          <t>PF; ESI; PT; TDS</t>
        </is>
      </c>
      <c r="E190" s="15" t="inlineStr">
        <is>
          <t>Pending Client Decision</t>
        </is>
      </c>
      <c r="F190" s="15" t="inlineStr">
        <is>
          <t>HRMS &gt; Payroll &gt; Salary Structure</t>
        </is>
      </c>
      <c r="G190" s="15" t="inlineStr">
        <is>
          <t>PF / ESI / PT / TDS exist as manual inputs and can be set up as components; statutory rules await the client's section 19 decision.</t>
        </is>
      </c>
    </row>
    <row r="191">
      <c r="A191" s="15" t="n">
        <v>187</v>
      </c>
      <c r="B191" s="15" t="inlineStr">
        <is>
          <t>9. Salary Structure Fields</t>
        </is>
      </c>
      <c r="C191" s="15" t="inlineStr">
        <is>
          <t>Deductions</t>
        </is>
      </c>
      <c r="D191" s="15" t="inlineStr">
        <is>
          <t>Salary advance recovery</t>
        </is>
      </c>
      <c r="E191" s="15" t="inlineStr">
        <is>
          <t>Built</t>
        </is>
      </c>
      <c r="F191" s="15" t="inlineStr">
        <is>
          <t>HRMS &gt; Payroll &gt; Salary Structure</t>
        </is>
      </c>
      <c r="G191" s="15" t="inlineStr"/>
    </row>
    <row r="192">
      <c r="A192" s="15" t="n">
        <v>188</v>
      </c>
      <c r="B192" s="15" t="inlineStr">
        <is>
          <t>9. Salary Structure Fields</t>
        </is>
      </c>
      <c r="C192" s="15" t="inlineStr">
        <is>
          <t>Deductions</t>
        </is>
      </c>
      <c r="D192" s="15" t="inlineStr">
        <is>
          <t>Notice / other recovery</t>
        </is>
      </c>
      <c r="E192" s="15" t="inlineStr">
        <is>
          <t>Built</t>
        </is>
      </c>
      <c r="F192" s="15" t="inlineStr">
        <is>
          <t>HRMS &gt; Payroll &gt; Salary Structure</t>
        </is>
      </c>
      <c r="G192" s="15" t="inlineStr"/>
    </row>
    <row r="193">
      <c r="A193" s="15" t="n">
        <v>189</v>
      </c>
      <c r="B193" s="15" t="inlineStr">
        <is>
          <t>9. Salary Structure Fields</t>
        </is>
      </c>
      <c r="C193" s="15" t="inlineStr">
        <is>
          <t>Deductions</t>
        </is>
      </c>
      <c r="D193" s="15" t="inlineStr">
        <is>
          <t>Other configured deductions</t>
        </is>
      </c>
      <c r="E193" s="15" t="inlineStr">
        <is>
          <t>Built</t>
        </is>
      </c>
      <c r="F193" s="15" t="inlineStr">
        <is>
          <t>HRMS &gt; Payroll &gt; Salary Structure</t>
        </is>
      </c>
      <c r="G193" s="15" t="inlineStr"/>
    </row>
    <row r="194">
      <c r="A194" s="15" t="n">
        <v>190</v>
      </c>
      <c r="B194" s="15" t="inlineStr">
        <is>
          <t>9. Salary Structure Fields</t>
        </is>
      </c>
      <c r="C194" s="15" t="inlineStr">
        <is>
          <t>Employer Contributions</t>
        </is>
      </c>
      <c r="D194" s="15" t="inlineStr">
        <is>
          <t>Configured employer contribution components</t>
        </is>
      </c>
      <c r="E194" s="15" t="inlineStr">
        <is>
          <t>Built</t>
        </is>
      </c>
      <c r="F194" s="15" t="inlineStr">
        <is>
          <t>HRMS &gt; Payroll &gt; Salary Structure</t>
        </is>
      </c>
      <c r="G194" s="15" t="inlineStr"/>
    </row>
    <row r="195">
      <c r="A195" s="15" t="n">
        <v>191</v>
      </c>
      <c r="B195" s="15" t="inlineStr">
        <is>
          <t>9. Salary Structure Fields</t>
        </is>
      </c>
      <c r="C195" s="15" t="inlineStr">
        <is>
          <t>Approval</t>
        </is>
      </c>
      <c r="D195" s="15" t="inlineStr">
        <is>
          <t>Created By</t>
        </is>
      </c>
      <c r="E195" s="15" t="inlineStr">
        <is>
          <t>Built</t>
        </is>
      </c>
      <c r="F195" s="15" t="inlineStr">
        <is>
          <t>HRMS &gt; Payroll &gt; Salary Structure</t>
        </is>
      </c>
      <c r="G195" s="15" t="inlineStr"/>
    </row>
    <row r="196">
      <c r="A196" s="15" t="n">
        <v>192</v>
      </c>
      <c r="B196" s="15" t="inlineStr">
        <is>
          <t>9. Salary Structure Fields</t>
        </is>
      </c>
      <c r="C196" s="15" t="inlineStr">
        <is>
          <t>Approval</t>
        </is>
      </c>
      <c r="D196" s="15" t="inlineStr">
        <is>
          <t>Submitted By</t>
        </is>
      </c>
      <c r="E196" s="15" t="inlineStr">
        <is>
          <t>Built</t>
        </is>
      </c>
      <c r="F196" s="15" t="inlineStr">
        <is>
          <t>HRMS &gt; Payroll &gt; Salary Structure</t>
        </is>
      </c>
      <c r="G196" s="15" t="inlineStr"/>
    </row>
    <row r="197">
      <c r="A197" s="15" t="n">
        <v>193</v>
      </c>
      <c r="B197" s="15" t="inlineStr">
        <is>
          <t>9. Salary Structure Fields</t>
        </is>
      </c>
      <c r="C197" s="15" t="inlineStr">
        <is>
          <t>Approval</t>
        </is>
      </c>
      <c r="D197" s="15" t="inlineStr">
        <is>
          <t>Approved By</t>
        </is>
      </c>
      <c r="E197" s="15" t="inlineStr">
        <is>
          <t>Built</t>
        </is>
      </c>
      <c r="F197" s="15" t="inlineStr">
        <is>
          <t>HRMS &gt; Payroll &gt; Salary Structure</t>
        </is>
      </c>
      <c r="G197" s="15" t="inlineStr"/>
    </row>
    <row r="198">
      <c r="A198" s="15" t="n">
        <v>194</v>
      </c>
      <c r="B198" s="15" t="inlineStr">
        <is>
          <t>9. Salary Structure Fields</t>
        </is>
      </c>
      <c r="C198" s="15" t="inlineStr">
        <is>
          <t>Approval</t>
        </is>
      </c>
      <c r="D198" s="15" t="inlineStr">
        <is>
          <t>Approval Date</t>
        </is>
      </c>
      <c r="E198" s="15" t="inlineStr">
        <is>
          <t>Built</t>
        </is>
      </c>
      <c r="F198" s="15" t="inlineStr">
        <is>
          <t>HRMS &gt; Payroll &gt; Salary Structure</t>
        </is>
      </c>
      <c r="G198" s="15" t="inlineStr"/>
    </row>
    <row r="199">
      <c r="A199" s="15" t="n">
        <v>195</v>
      </c>
      <c r="B199" s="15" t="inlineStr">
        <is>
          <t>9. Salary Structure Fields</t>
        </is>
      </c>
      <c r="C199" s="15" t="inlineStr">
        <is>
          <t>Approval</t>
        </is>
      </c>
      <c r="D199" s="15" t="inlineStr">
        <is>
          <t>Comments</t>
        </is>
      </c>
      <c r="E199" s="15" t="inlineStr">
        <is>
          <t>Built</t>
        </is>
      </c>
      <c r="F199" s="15" t="inlineStr">
        <is>
          <t>HRMS &gt; Payroll &gt; Salary Structure</t>
        </is>
      </c>
      <c r="G199" s="15" t="inlineStr"/>
    </row>
    <row r="200">
      <c r="A200" s="15" t="n">
        <v>196</v>
      </c>
      <c r="B200" s="15" t="inlineStr">
        <is>
          <t>9. Salary Structure Fields</t>
        </is>
      </c>
      <c r="C200" s="15" t="inlineStr">
        <is>
          <t>History</t>
        </is>
      </c>
      <c r="D200" s="15" t="inlineStr">
        <is>
          <t>Prior structure retained; past payroll cannot be rewritten</t>
        </is>
      </c>
      <c r="E200" s="15" t="inlineStr">
        <is>
          <t>Built</t>
        </is>
      </c>
      <c r="F200" s="15" t="inlineStr">
        <is>
          <t>HRMS &gt; Payroll &gt; Salary Structure</t>
        </is>
      </c>
      <c r="G200" s="15" t="inlineStr">
        <is>
          <t>Structures cannot start inside a locked payroll month</t>
        </is>
      </c>
    </row>
    <row r="201">
      <c r="A201" s="15" t="n">
        <v>197</v>
      </c>
      <c r="B201" s="15" t="inlineStr">
        <is>
          <t>10. Monthly Payroll Input</t>
        </is>
      </c>
      <c r="C201" s="15" t="inlineStr">
        <is>
          <t>Payroll Period</t>
        </is>
      </c>
      <c r="D201" s="15" t="inlineStr">
        <is>
          <t>Month; Year; Period Start; Period End</t>
        </is>
      </c>
      <c r="E201" s="15" t="inlineStr">
        <is>
          <t>Built</t>
        </is>
      </c>
      <c r="F201" s="15" t="inlineStr">
        <is>
          <t>HRMS &gt; Payroll &gt; Payroll Runs</t>
        </is>
      </c>
      <c r="G201" s="15" t="inlineStr"/>
    </row>
    <row r="202">
      <c r="A202" s="15" t="n">
        <v>198</v>
      </c>
      <c r="B202" s="15" t="inlineStr">
        <is>
          <t>10. Monthly Payroll Input</t>
        </is>
      </c>
      <c r="C202" s="15" t="inlineStr">
        <is>
          <t>Employee</t>
        </is>
      </c>
      <c r="D202" s="15" t="inlineStr">
        <is>
          <t>Employee ID; Name; DOJ; LWD if applicable</t>
        </is>
      </c>
      <c r="E202" s="15" t="inlineStr">
        <is>
          <t>Built</t>
        </is>
      </c>
      <c r="F202" s="15" t="inlineStr">
        <is>
          <t>HRMS &gt; Payroll &gt; Payroll Runs</t>
        </is>
      </c>
      <c r="G202" s="15" t="inlineStr"/>
    </row>
    <row r="203">
      <c r="A203" s="15" t="n">
        <v>199</v>
      </c>
      <c r="B203" s="15" t="inlineStr">
        <is>
          <t>10. Monthly Payroll Input</t>
        </is>
      </c>
      <c r="C203" s="15" t="inlineStr">
        <is>
          <t>Attendance</t>
        </is>
      </c>
      <c r="D203" s="15" t="inlineStr">
        <is>
          <t>Calendar Days; Working Days; Present Days; Payable Days; LOP Days / Fraction; weekly off / holiday counts</t>
        </is>
      </c>
      <c r="E203" s="15" t="inlineStr">
        <is>
          <t>Built</t>
        </is>
      </c>
      <c r="F203" s="15" t="inlineStr">
        <is>
          <t>HRMS &gt; Payroll &gt; Payroll Runs</t>
        </is>
      </c>
      <c r="G203" s="15" t="inlineStr"/>
    </row>
    <row r="204">
      <c r="A204" s="15" t="n">
        <v>200</v>
      </c>
      <c r="B204" s="15" t="inlineStr">
        <is>
          <t>10. Monthly Payroll Input</t>
        </is>
      </c>
      <c r="C204" s="15" t="inlineStr">
        <is>
          <t>Salary Basis</t>
        </is>
      </c>
      <c r="D204" s="15" t="inlineStr">
        <is>
          <t>Active salary structure and component values</t>
        </is>
      </c>
      <c r="E204" s="15" t="inlineStr">
        <is>
          <t>Built</t>
        </is>
      </c>
      <c r="F204" s="15" t="inlineStr">
        <is>
          <t>HRMS &gt; Payroll &gt; Payroll Runs</t>
        </is>
      </c>
      <c r="G204" s="15" t="inlineStr"/>
    </row>
    <row r="205">
      <c r="A205" s="15" t="n">
        <v>201</v>
      </c>
      <c r="B205" s="15" t="inlineStr">
        <is>
          <t>10. Monthly Payroll Input</t>
        </is>
      </c>
      <c r="C205" s="15" t="inlineStr">
        <is>
          <t>Additional Earnings</t>
        </is>
      </c>
      <c r="D205" s="15" t="inlineStr">
        <is>
          <t>Reimbursements; Arrears; Variable / Other Earnings; Bonus</t>
        </is>
      </c>
      <c r="E205" s="15" t="inlineStr">
        <is>
          <t>Built</t>
        </is>
      </c>
      <c r="F205" s="15" t="inlineStr">
        <is>
          <t>HRMS &gt; Payroll &gt; Payroll Runs</t>
        </is>
      </c>
      <c r="G205" s="15" t="inlineStr"/>
    </row>
    <row r="206">
      <c r="A206" s="15" t="n">
        <v>202</v>
      </c>
      <c r="B206" s="15" t="inlineStr">
        <is>
          <t>10. Monthly Payroll Input</t>
        </is>
      </c>
      <c r="C206" s="15" t="inlineStr">
        <is>
          <t>Recoveries / Deductions</t>
        </is>
      </c>
      <c r="D206" s="15" t="inlineStr">
        <is>
          <t>Salary Advance Recovery; Other Recovery; Manual Deduction / Adjustment; statutory / configured deductions</t>
        </is>
      </c>
      <c r="E206" s="15" t="inlineStr">
        <is>
          <t>Built</t>
        </is>
      </c>
      <c r="F206" s="15" t="inlineStr">
        <is>
          <t>HRMS &gt; Payroll &gt; Payroll Runs</t>
        </is>
      </c>
      <c r="G206" s="15" t="inlineStr"/>
    </row>
    <row r="207">
      <c r="A207" s="15" t="n">
        <v>203</v>
      </c>
      <c r="B207" s="15" t="inlineStr">
        <is>
          <t>10. Monthly Payroll Input</t>
        </is>
      </c>
      <c r="C207" s="15" t="inlineStr">
        <is>
          <t>Manual Adjustment</t>
        </is>
      </c>
      <c r="D207" s="15" t="inlineStr">
        <is>
          <t>Type; Amount; Reason; Source / Reference</t>
        </is>
      </c>
      <c r="E207" s="15" t="inlineStr">
        <is>
          <t>Built</t>
        </is>
      </c>
      <c r="F207" s="15" t="inlineStr">
        <is>
          <t>HRMS &gt; Payroll &gt; Payroll Runs</t>
        </is>
      </c>
      <c r="G207" s="15" t="inlineStr"/>
    </row>
    <row r="208">
      <c r="A208" s="15" t="n">
        <v>204</v>
      </c>
      <c r="B208" s="15" t="inlineStr">
        <is>
          <t>10. Monthly Payroll Input</t>
        </is>
      </c>
      <c r="C208" s="15" t="inlineStr">
        <is>
          <t>Manual Adjustment</t>
        </is>
      </c>
      <c r="D208" s="15" t="inlineStr">
        <is>
          <t>Approval where needed</t>
        </is>
      </c>
      <c r="E208" s="15" t="inlineStr">
        <is>
          <t>Built</t>
        </is>
      </c>
      <c r="F208" s="15" t="inlineStr">
        <is>
          <t>HRMS &gt; Payroll &gt; Payroll Runs</t>
        </is>
      </c>
      <c r="G208" s="15" t="inlineStr">
        <is>
          <t>DONE 24 Oct: one-off lines above the policy's amount need a second person's approval before submission (off by default).</t>
        </is>
      </c>
    </row>
    <row r="209">
      <c r="A209" s="15" t="n">
        <v>205</v>
      </c>
      <c r="B209" s="15" t="inlineStr">
        <is>
          <t>10. Monthly Payroll Input</t>
        </is>
      </c>
      <c r="C209" s="15" t="inlineStr">
        <is>
          <t>Calculated</t>
        </is>
      </c>
      <c r="D209" s="15" t="inlineStr">
        <is>
          <t>Gross Earnings; Total Deductions; Employer Contributions; Net Pay</t>
        </is>
      </c>
      <c r="E209" s="15" t="inlineStr">
        <is>
          <t>Built</t>
        </is>
      </c>
      <c r="F209" s="15" t="inlineStr">
        <is>
          <t>HRMS &gt; Payroll &gt; Payroll Runs</t>
        </is>
      </c>
      <c r="G209" s="15" t="inlineStr"/>
    </row>
    <row r="210">
      <c r="A210" s="15" t="n">
        <v>206</v>
      </c>
      <c r="B210" s="15" t="inlineStr">
        <is>
          <t>10. Monthly Payroll Input</t>
        </is>
      </c>
      <c r="C210" s="15" t="inlineStr">
        <is>
          <t>Controls</t>
        </is>
      </c>
      <c r="D210" s="15" t="inlineStr">
        <is>
          <t>Exception; Previous Month Net; Variance Amount / %; Maker Status; Checker Status</t>
        </is>
      </c>
      <c r="E210" s="15" t="inlineStr">
        <is>
          <t>Built</t>
        </is>
      </c>
      <c r="F210" s="15" t="inlineStr">
        <is>
          <t>HRMS &gt; Payroll &gt; Payroll Runs</t>
        </is>
      </c>
      <c r="G210" s="15" t="inlineStr"/>
    </row>
    <row r="211">
      <c r="A211" s="15" t="n">
        <v>207</v>
      </c>
      <c r="B211" s="15" t="inlineStr">
        <is>
          <t>11. Payroll Calculation Logic</t>
        </is>
      </c>
      <c r="C211" s="15" t="inlineStr">
        <is>
          <t>Formula</t>
        </is>
      </c>
      <c r="D211" s="15" t="inlineStr">
        <is>
          <t>Regular + Additional Earnings + Reimbursements + Arrears - LOP - Statutory - Recoveries = Net</t>
        </is>
      </c>
      <c r="E211" s="15" t="inlineStr">
        <is>
          <t>Built</t>
        </is>
      </c>
      <c r="F211" s="15" t="inlineStr">
        <is>
          <t>HRMS &gt; Payroll &gt; Payroll Runs</t>
        </is>
      </c>
      <c r="G211" s="15" t="inlineStr"/>
    </row>
    <row r="212">
      <c r="A212" s="15" t="n">
        <v>208</v>
      </c>
      <c r="B212" s="15" t="inlineStr">
        <is>
          <t>11. Payroll Calculation Logic</t>
        </is>
      </c>
      <c r="C212" s="15" t="inlineStr">
        <is>
          <t>Formula</t>
        </is>
      </c>
      <c r="D212" s="15" t="inlineStr">
        <is>
          <t>Each component uses its configured rule and source</t>
        </is>
      </c>
      <c r="E212" s="15" t="inlineStr">
        <is>
          <t>Built</t>
        </is>
      </c>
      <c r="F212" s="15" t="inlineStr">
        <is>
          <t>HRMS &gt; Payroll &gt; Salary Structure</t>
        </is>
      </c>
      <c r="G212" s="15" t="inlineStr">
        <is>
          <t>Fixed / % / Formula / Slab / Manual</t>
        </is>
      </c>
    </row>
    <row r="213">
      <c r="A213" s="15" t="n">
        <v>209</v>
      </c>
      <c r="B213" s="15" t="inlineStr">
        <is>
          <t>11. Payroll Calculation Logic</t>
        </is>
      </c>
      <c r="C213" s="15" t="inlineStr">
        <is>
          <t>Formula</t>
        </is>
      </c>
      <c r="D213" s="15" t="inlineStr">
        <is>
          <t>Statutory applicability and formulas</t>
        </is>
      </c>
      <c r="E213" s="15" t="inlineStr">
        <is>
          <t>Pending Client Decision</t>
        </is>
      </c>
      <c r="F213" s="15" t="inlineStr">
        <is>
          <t>-</t>
        </is>
      </c>
      <c r="G213" s="15" t="inlineStr">
        <is>
          <t>FRD sections 11 / 19 leave statutory rules to the payroll workshop.</t>
        </is>
      </c>
    </row>
    <row r="214">
      <c r="A214" s="15" t="n">
        <v>210</v>
      </c>
      <c r="B214" s="15" t="inlineStr">
        <is>
          <t>12. Payroll Approval Workflow</t>
        </is>
      </c>
      <c r="C214" s="15" t="inlineStr">
        <is>
          <t>Stage 1 - HR</t>
        </is>
      </c>
      <c r="D214" s="15" t="inlineStr">
        <is>
          <t>Finalise attendance exceptions</t>
        </is>
      </c>
      <c r="E214" s="15" t="inlineStr">
        <is>
          <t>Built</t>
        </is>
      </c>
      <c r="F214" s="15" t="inlineStr">
        <is>
          <t>HRMS &gt; Payroll &gt; Payroll Runs</t>
        </is>
      </c>
      <c r="G214" s="15" t="inlineStr"/>
    </row>
    <row r="215">
      <c r="A215" s="15" t="n">
        <v>211</v>
      </c>
      <c r="B215" s="15" t="inlineStr">
        <is>
          <t>12. Payroll Approval Workflow</t>
        </is>
      </c>
      <c r="C215" s="15" t="inlineStr">
        <is>
          <t>Stage 2 - HR</t>
        </is>
      </c>
      <c r="D215" s="15" t="inlineStr">
        <is>
          <t>Lock monthly attendance snapshot</t>
        </is>
      </c>
      <c r="E215" s="15" t="inlineStr">
        <is>
          <t>Built</t>
        </is>
      </c>
      <c r="F215" s="15" t="inlineStr">
        <is>
          <t>HRMS &gt; Payroll &gt; Payroll Runs</t>
        </is>
      </c>
      <c r="G215" s="15" t="inlineStr"/>
    </row>
    <row r="216">
      <c r="A216" s="15" t="n">
        <v>212</v>
      </c>
      <c r="B216" s="15" t="inlineStr">
        <is>
          <t>12. Payroll Approval Workflow</t>
        </is>
      </c>
      <c r="C216" s="15" t="inlineStr">
        <is>
          <t>Stage 3 - Payroll Maker</t>
        </is>
      </c>
      <c r="D216" s="15" t="inlineStr">
        <is>
          <t>Open payroll period and load eligible employees</t>
        </is>
      </c>
      <c r="E216" s="15" t="inlineStr">
        <is>
          <t>Built</t>
        </is>
      </c>
      <c r="F216" s="15" t="inlineStr">
        <is>
          <t>HRMS &gt; Payroll &gt; Payroll Runs</t>
        </is>
      </c>
      <c r="G216" s="15" t="inlineStr"/>
    </row>
    <row r="217">
      <c r="A217" s="15" t="n">
        <v>213</v>
      </c>
      <c r="B217" s="15" t="inlineStr">
        <is>
          <t>12. Payroll Approval Workflow</t>
        </is>
      </c>
      <c r="C217" s="15" t="inlineStr">
        <is>
          <t>Stage 4 - Payroll Maker</t>
        </is>
      </c>
      <c r="D217" s="15" t="inlineStr">
        <is>
          <t>Load salary structures and monthly inputs</t>
        </is>
      </c>
      <c r="E217" s="15" t="inlineStr">
        <is>
          <t>Built</t>
        </is>
      </c>
      <c r="F217" s="15" t="inlineStr">
        <is>
          <t>HRMS &gt; Payroll &gt; Payroll Runs</t>
        </is>
      </c>
      <c r="G217" s="15" t="inlineStr"/>
    </row>
    <row r="218">
      <c r="A218" s="15" t="n">
        <v>214</v>
      </c>
      <c r="B218" s="15" t="inlineStr">
        <is>
          <t>12. Payroll Approval Workflow</t>
        </is>
      </c>
      <c r="C218" s="15" t="inlineStr">
        <is>
          <t>Stage 5 - Payroll Maker</t>
        </is>
      </c>
      <c r="D218" s="15" t="inlineStr">
        <is>
          <t>Run payroll and review exceptions / variance</t>
        </is>
      </c>
      <c r="E218" s="15" t="inlineStr">
        <is>
          <t>Built</t>
        </is>
      </c>
      <c r="F218" s="15" t="inlineStr">
        <is>
          <t>HRMS &gt; Payroll &gt; Payroll Runs</t>
        </is>
      </c>
      <c r="G218" s="15" t="inlineStr"/>
    </row>
    <row r="219">
      <c r="A219" s="15" t="n">
        <v>215</v>
      </c>
      <c r="B219" s="15" t="inlineStr">
        <is>
          <t>12. Payroll Approval Workflow</t>
        </is>
      </c>
      <c r="C219" s="15" t="inlineStr">
        <is>
          <t>Stage 6 - Payroll Maker</t>
        </is>
      </c>
      <c r="D219" s="15" t="inlineStr">
        <is>
          <t>Correct permitted inputs and rerun</t>
        </is>
      </c>
      <c r="E219" s="15" t="inlineStr">
        <is>
          <t>Built</t>
        </is>
      </c>
      <c r="F219" s="15" t="inlineStr">
        <is>
          <t>HRMS &gt; Payroll &gt; Payroll Runs</t>
        </is>
      </c>
      <c r="G219" s="15" t="inlineStr"/>
    </row>
    <row r="220">
      <c r="A220" s="15" t="n">
        <v>216</v>
      </c>
      <c r="B220" s="15" t="inlineStr">
        <is>
          <t>12. Payroll Approval Workflow</t>
        </is>
      </c>
      <c r="C220" s="15" t="inlineStr">
        <is>
          <t>Stage 7 - Payroll Maker</t>
        </is>
      </c>
      <c r="D220" s="15" t="inlineStr">
        <is>
          <t>Submit payroll batch for approval</t>
        </is>
      </c>
      <c r="E220" s="15" t="inlineStr">
        <is>
          <t>Built</t>
        </is>
      </c>
      <c r="F220" s="15" t="inlineStr">
        <is>
          <t>HRMS &gt; Payroll &gt; Payroll Runs</t>
        </is>
      </c>
      <c r="G220" s="15" t="inlineStr"/>
    </row>
    <row r="221">
      <c r="A221" s="15" t="n">
        <v>217</v>
      </c>
      <c r="B221" s="15" t="inlineStr">
        <is>
          <t>12. Payroll Approval Workflow</t>
        </is>
      </c>
      <c r="C221" s="15" t="inlineStr">
        <is>
          <t>Stage 8 - Payroll / HR Checker</t>
        </is>
      </c>
      <c r="D221" s="15" t="inlineStr">
        <is>
          <t>Verify component values, attendance impact and exceptions</t>
        </is>
      </c>
      <c r="E221" s="15" t="inlineStr">
        <is>
          <t>Built</t>
        </is>
      </c>
      <c r="F221" s="15" t="inlineStr">
        <is>
          <t>HRMS &gt; Payroll &gt; Payroll Runs</t>
        </is>
      </c>
      <c r="G221" s="15" t="inlineStr">
        <is>
          <t>Checker can never be the maker who submitted</t>
        </is>
      </c>
    </row>
    <row r="222">
      <c r="A222" s="15" t="n">
        <v>218</v>
      </c>
      <c r="B222" s="15" t="inlineStr">
        <is>
          <t>12. Payroll Approval Workflow</t>
        </is>
      </c>
      <c r="C222" s="15" t="inlineStr">
        <is>
          <t>Stage 9 - Finance / Authorised Approver</t>
        </is>
      </c>
      <c r="D222" s="15" t="inlineStr">
        <is>
          <t>Approve, reject or return payroll</t>
        </is>
      </c>
      <c r="E222" s="15" t="inlineStr">
        <is>
          <t>Built</t>
        </is>
      </c>
      <c r="F222" s="15" t="inlineStr">
        <is>
          <t>HRMS &gt; Payroll &gt; Payroll Runs</t>
        </is>
      </c>
      <c r="G222" s="15" t="inlineStr">
        <is>
          <t>Checker can never be the maker who submitted</t>
        </is>
      </c>
    </row>
    <row r="223">
      <c r="A223" s="15" t="n">
        <v>219</v>
      </c>
      <c r="B223" s="15" t="inlineStr">
        <is>
          <t>12. Payroll Approval Workflow</t>
        </is>
      </c>
      <c r="C223" s="15" t="inlineStr">
        <is>
          <t>Stage 10 - Payroll</t>
        </is>
      </c>
      <c r="D223" s="15" t="inlineStr">
        <is>
          <t>Lock approved payroll</t>
        </is>
      </c>
      <c r="E223" s="15" t="inlineStr">
        <is>
          <t>Built</t>
        </is>
      </c>
      <c r="F223" s="15" t="inlineStr">
        <is>
          <t>HRMS &gt; Payroll &gt; Payroll Runs</t>
        </is>
      </c>
      <c r="G223" s="15" t="inlineStr"/>
    </row>
    <row r="224">
      <c r="A224" s="15" t="n">
        <v>220</v>
      </c>
      <c r="B224" s="15" t="inlineStr">
        <is>
          <t>12. Payroll Approval Workflow</t>
        </is>
      </c>
      <c r="C224" s="15" t="inlineStr">
        <is>
          <t>Stage 11 - Payroll / Finance</t>
        </is>
      </c>
      <c r="D224" s="15" t="inlineStr">
        <is>
          <t>Generate payment file / advice and payslips</t>
        </is>
      </c>
      <c r="E224" s="15" t="inlineStr">
        <is>
          <t>Built</t>
        </is>
      </c>
      <c r="F224" s="15" t="inlineStr">
        <is>
          <t>HRMS &gt; Payroll &gt; Payroll Runs</t>
        </is>
      </c>
      <c r="G224" s="15" t="inlineStr"/>
    </row>
    <row r="225">
      <c r="A225" s="15" t="n">
        <v>221</v>
      </c>
      <c r="B225" s="15" t="inlineStr">
        <is>
          <t>12. Payroll Approval Workflow</t>
        </is>
      </c>
      <c r="C225" s="15" t="inlineStr">
        <is>
          <t>Stage 12 - Finance</t>
        </is>
      </c>
      <c r="D225" s="15" t="inlineStr">
        <is>
          <t>Process bank salary payment</t>
        </is>
      </c>
      <c r="E225" s="15" t="inlineStr">
        <is>
          <t>Built</t>
        </is>
      </c>
      <c r="F225" s="15" t="inlineStr">
        <is>
          <t>HRMS &gt; Payroll &gt; Payroll Runs</t>
        </is>
      </c>
      <c r="G225" s="15" t="inlineStr"/>
    </row>
    <row r="226">
      <c r="A226" s="15" t="n">
        <v>222</v>
      </c>
      <c r="B226" s="15" t="inlineStr">
        <is>
          <t>12. Payroll Approval Workflow</t>
        </is>
      </c>
      <c r="C226" s="15" t="inlineStr">
        <is>
          <t>Stage 13 - Payroll / Finance</t>
        </is>
      </c>
      <c r="D226" s="15" t="inlineStr">
        <is>
          <t>Capture UTR / payment status and close payroll period</t>
        </is>
      </c>
      <c r="E226" s="15" t="inlineStr">
        <is>
          <t>Built</t>
        </is>
      </c>
      <c r="F226" s="15" t="inlineStr">
        <is>
          <t>HRMS &gt; Payroll &gt; Payroll Runs</t>
        </is>
      </c>
      <c r="G226" s="15" t="inlineStr"/>
    </row>
    <row r="227">
      <c r="A227" s="15" t="n">
        <v>223</v>
      </c>
      <c r="B227" s="15" t="inlineStr">
        <is>
          <t>13. Salary Disbursal</t>
        </is>
      </c>
      <c r="C227" s="15" t="inlineStr">
        <is>
          <t>Field</t>
        </is>
      </c>
      <c r="D227" s="15" t="inlineStr">
        <is>
          <t>Payroll Period</t>
        </is>
      </c>
      <c r="E227" s="15" t="inlineStr">
        <is>
          <t>Built</t>
        </is>
      </c>
      <c r="F227" s="15" t="inlineStr">
        <is>
          <t>HRMS &gt; Payroll &gt; Payroll Runs &gt; Disbursal</t>
        </is>
      </c>
      <c r="G227" s="15" t="inlineStr"/>
    </row>
    <row r="228">
      <c r="A228" s="15" t="n">
        <v>224</v>
      </c>
      <c r="B228" s="15" t="inlineStr">
        <is>
          <t>13. Salary Disbursal</t>
        </is>
      </c>
      <c r="C228" s="15" t="inlineStr">
        <is>
          <t>Field</t>
        </is>
      </c>
      <c r="D228" s="15" t="inlineStr">
        <is>
          <t>Employee ID / Name</t>
        </is>
      </c>
      <c r="E228" s="15" t="inlineStr">
        <is>
          <t>Built</t>
        </is>
      </c>
      <c r="F228" s="15" t="inlineStr">
        <is>
          <t>HRMS &gt; Payroll &gt; Payroll Runs &gt; Disbursal</t>
        </is>
      </c>
      <c r="G228" s="15" t="inlineStr"/>
    </row>
    <row r="229">
      <c r="A229" s="15" t="n">
        <v>225</v>
      </c>
      <c r="B229" s="15" t="inlineStr">
        <is>
          <t>13. Salary Disbursal</t>
        </is>
      </c>
      <c r="C229" s="15" t="inlineStr">
        <is>
          <t>Field</t>
        </is>
      </c>
      <c r="D229" s="15" t="inlineStr">
        <is>
          <t>Bank / Account / IFSC (masked in UI)</t>
        </is>
      </c>
      <c r="E229" s="15" t="inlineStr">
        <is>
          <t>Built</t>
        </is>
      </c>
      <c r="F229" s="15" t="inlineStr">
        <is>
          <t>HRMS &gt; Payroll &gt; Payroll Runs &gt; Disbursal</t>
        </is>
      </c>
      <c r="G229" s="15" t="inlineStr">
        <is>
          <t>Full number only in the bank file</t>
        </is>
      </c>
    </row>
    <row r="230">
      <c r="A230" s="15" t="n">
        <v>226</v>
      </c>
      <c r="B230" s="15" t="inlineStr">
        <is>
          <t>13. Salary Disbursal</t>
        </is>
      </c>
      <c r="C230" s="15" t="inlineStr">
        <is>
          <t>Field</t>
        </is>
      </c>
      <c r="D230" s="15" t="inlineStr">
        <is>
          <t>Net Pay</t>
        </is>
      </c>
      <c r="E230" s="15" t="inlineStr">
        <is>
          <t>Built</t>
        </is>
      </c>
      <c r="F230" s="15" t="inlineStr">
        <is>
          <t>HRMS &gt; Payroll &gt; Payroll Runs &gt; Disbursal</t>
        </is>
      </c>
      <c r="G230" s="15" t="inlineStr"/>
    </row>
    <row r="231">
      <c r="A231" s="15" t="n">
        <v>227</v>
      </c>
      <c r="B231" s="15" t="inlineStr">
        <is>
          <t>13. Salary Disbursal</t>
        </is>
      </c>
      <c r="C231" s="15" t="inlineStr">
        <is>
          <t>Field</t>
        </is>
      </c>
      <c r="D231" s="15" t="inlineStr">
        <is>
          <t>Payment Mode</t>
        </is>
      </c>
      <c r="E231" s="15" t="inlineStr">
        <is>
          <t>Built</t>
        </is>
      </c>
      <c r="F231" s="15" t="inlineStr">
        <is>
          <t>HRMS &gt; Payroll &gt; Payroll Runs &gt; Disbursal</t>
        </is>
      </c>
      <c r="G231" s="15" t="inlineStr">
        <is>
          <t>NEFT / RTGS / IMPS / Bank Transfer / Cheque / Cash / Manual Advice; no bank API (FRD: later)</t>
        </is>
      </c>
    </row>
    <row r="232">
      <c r="A232" s="15" t="n">
        <v>228</v>
      </c>
      <c r="B232" s="15" t="inlineStr">
        <is>
          <t>13. Salary Disbursal</t>
        </is>
      </c>
      <c r="C232" s="15" t="inlineStr">
        <is>
          <t>Field</t>
        </is>
      </c>
      <c r="D232" s="15" t="inlineStr">
        <is>
          <t>Batch Number</t>
        </is>
      </c>
      <c r="E232" s="15" t="inlineStr">
        <is>
          <t>Built</t>
        </is>
      </c>
      <c r="F232" s="15" t="inlineStr">
        <is>
          <t>HRMS &gt; Payroll &gt; Payroll Runs &gt; Disbursal</t>
        </is>
      </c>
      <c r="G232" s="15" t="inlineStr">
        <is>
          <t>PAYB-YYYY-NNN</t>
        </is>
      </c>
    </row>
    <row r="233">
      <c r="A233" s="15" t="n">
        <v>229</v>
      </c>
      <c r="B233" s="15" t="inlineStr">
        <is>
          <t>13. Salary Disbursal</t>
        </is>
      </c>
      <c r="C233" s="15" t="inlineStr">
        <is>
          <t>Field</t>
        </is>
      </c>
      <c r="D233" s="15" t="inlineStr">
        <is>
          <t>Generated Date</t>
        </is>
      </c>
      <c r="E233" s="15" t="inlineStr">
        <is>
          <t>Built</t>
        </is>
      </c>
      <c r="F233" s="15" t="inlineStr">
        <is>
          <t>HRMS &gt; Payroll &gt; Payroll Runs &gt; Disbursal</t>
        </is>
      </c>
      <c r="G233" s="15" t="inlineStr"/>
    </row>
    <row r="234">
      <c r="A234" s="15" t="n">
        <v>230</v>
      </c>
      <c r="B234" s="15" t="inlineStr">
        <is>
          <t>13. Salary Disbursal</t>
        </is>
      </c>
      <c r="C234" s="15" t="inlineStr">
        <is>
          <t>Field</t>
        </is>
      </c>
      <c r="D234" s="15" t="inlineStr">
        <is>
          <t>Payment Date</t>
        </is>
      </c>
      <c r="E234" s="15" t="inlineStr">
        <is>
          <t>Built</t>
        </is>
      </c>
      <c r="F234" s="15" t="inlineStr">
        <is>
          <t>HRMS &gt; Payroll &gt; Payroll Runs &gt; Disbursal</t>
        </is>
      </c>
      <c r="G234" s="15" t="inlineStr"/>
    </row>
    <row r="235">
      <c r="A235" s="15" t="n">
        <v>231</v>
      </c>
      <c r="B235" s="15" t="inlineStr">
        <is>
          <t>13. Salary Disbursal</t>
        </is>
      </c>
      <c r="C235" s="15" t="inlineStr">
        <is>
          <t>Field</t>
        </is>
      </c>
      <c r="D235" s="15" t="inlineStr">
        <is>
          <t>Payment Status (Pending / Processed / Failed / Rejected)</t>
        </is>
      </c>
      <c r="E235" s="15" t="inlineStr">
        <is>
          <t>Built</t>
        </is>
      </c>
      <c r="F235" s="15" t="inlineStr">
        <is>
          <t>HRMS &gt; Payroll &gt; Payroll Runs &gt; Disbursal</t>
        </is>
      </c>
      <c r="G235" s="15" t="inlineStr"/>
    </row>
    <row r="236">
      <c r="A236" s="15" t="n">
        <v>232</v>
      </c>
      <c r="B236" s="15" t="inlineStr">
        <is>
          <t>13. Salary Disbursal</t>
        </is>
      </c>
      <c r="C236" s="15" t="inlineStr">
        <is>
          <t>Field</t>
        </is>
      </c>
      <c r="D236" s="15" t="inlineStr">
        <is>
          <t>UTR / Transaction Reference</t>
        </is>
      </c>
      <c r="E236" s="15" t="inlineStr">
        <is>
          <t>Built</t>
        </is>
      </c>
      <c r="F236" s="15" t="inlineStr">
        <is>
          <t>HRMS &gt; Payroll &gt; Payroll Runs &gt; Disbursal</t>
        </is>
      </c>
      <c r="G236" s="15" t="inlineStr">
        <is>
          <t>Manual entry or bank-response import</t>
        </is>
      </c>
    </row>
    <row r="237">
      <c r="A237" s="15" t="n">
        <v>233</v>
      </c>
      <c r="B237" s="15" t="inlineStr">
        <is>
          <t>13. Salary Disbursal</t>
        </is>
      </c>
      <c r="C237" s="15" t="inlineStr">
        <is>
          <t>Field</t>
        </is>
      </c>
      <c r="D237" s="15" t="inlineStr">
        <is>
          <t>Failure Reason</t>
        </is>
      </c>
      <c r="E237" s="15" t="inlineStr">
        <is>
          <t>Built</t>
        </is>
      </c>
      <c r="F237" s="15" t="inlineStr">
        <is>
          <t>HRMS &gt; Payroll &gt; Payroll Runs &gt; Disbursal</t>
        </is>
      </c>
      <c r="G237" s="15" t="inlineStr"/>
    </row>
    <row r="238">
      <c r="A238" s="15" t="n">
        <v>234</v>
      </c>
      <c r="B238" s="15" t="inlineStr">
        <is>
          <t>13. Salary Disbursal</t>
        </is>
      </c>
      <c r="C238" s="15" t="inlineStr">
        <is>
          <t>Field</t>
        </is>
      </c>
      <c r="D238" s="15" t="inlineStr">
        <is>
          <t>Retry Batch</t>
        </is>
      </c>
      <c r="E238" s="15" t="inlineStr">
        <is>
          <t>Built</t>
        </is>
      </c>
      <c r="F238" s="15" t="inlineStr">
        <is>
          <t>HRMS &gt; Payroll &gt; Payroll Runs &gt; Disbursal</t>
        </is>
      </c>
      <c r="G238" s="15" t="inlineStr"/>
    </row>
    <row r="239">
      <c r="A239" s="15" t="n">
        <v>235</v>
      </c>
      <c r="B239" s="15" t="inlineStr">
        <is>
          <t>14. Payslip</t>
        </is>
      </c>
      <c r="C239" s="15" t="inlineStr">
        <is>
          <t>Employee Header</t>
        </is>
      </c>
      <c r="D239" s="15" t="inlineStr">
        <is>
          <t>Employee ID; Name; Designation; Department; Payroll Month; approved identifiers</t>
        </is>
      </c>
      <c r="E239" s="15" t="inlineStr">
        <is>
          <t>Built</t>
        </is>
      </c>
      <c r="F239" s="15" t="inlineStr">
        <is>
          <t>HRMS &gt; Payroll &gt; Payslip</t>
        </is>
      </c>
      <c r="G239" s="15" t="inlineStr">
        <is>
          <t>PAN / bank masked</t>
        </is>
      </c>
    </row>
    <row r="240">
      <c r="A240" s="15" t="n">
        <v>236</v>
      </c>
      <c r="B240" s="15" t="inlineStr">
        <is>
          <t>14. Payslip</t>
        </is>
      </c>
      <c r="C240" s="15" t="inlineStr">
        <is>
          <t>Attendance</t>
        </is>
      </c>
      <c r="D240" s="15" t="inlineStr">
        <is>
          <t>Payable Days; LOP Days</t>
        </is>
      </c>
      <c r="E240" s="15" t="inlineStr">
        <is>
          <t>Built</t>
        </is>
      </c>
      <c r="F240" s="15" t="inlineStr">
        <is>
          <t>HRMS &gt; Payroll &gt; Payslip</t>
        </is>
      </c>
      <c r="G240" s="15" t="inlineStr">
        <is>
          <t>LOP days shown if template allows</t>
        </is>
      </c>
    </row>
    <row r="241">
      <c r="A241" s="15" t="n">
        <v>237</v>
      </c>
      <c r="B241" s="15" t="inlineStr">
        <is>
          <t>14. Payslip</t>
        </is>
      </c>
      <c r="C241" s="15" t="inlineStr">
        <is>
          <t>Regular Earnings</t>
        </is>
      </c>
      <c r="D241" s="15" t="inlineStr">
        <is>
          <t>Basic; HRA; regular allowances</t>
        </is>
      </c>
      <c r="E241" s="15" t="inlineStr">
        <is>
          <t>Built</t>
        </is>
      </c>
      <c r="F241" s="15" t="inlineStr">
        <is>
          <t>HRMS &gt; Payroll &gt; Payslip</t>
        </is>
      </c>
      <c r="G241" s="15" t="inlineStr"/>
    </row>
    <row r="242">
      <c r="A242" s="15" t="n">
        <v>238</v>
      </c>
      <c r="B242" s="15" t="inlineStr">
        <is>
          <t>14. Payslip</t>
        </is>
      </c>
      <c r="C242" s="15" t="inlineStr">
        <is>
          <t>Other Earnings</t>
        </is>
      </c>
      <c r="D242" s="15" t="inlineStr">
        <is>
          <t>Reimbursement; Arrears; Variable Pay / Incentive; Bonus; Other Earnings</t>
        </is>
      </c>
      <c r="E242" s="15" t="inlineStr">
        <is>
          <t>Built</t>
        </is>
      </c>
      <c r="F242" s="15" t="inlineStr">
        <is>
          <t>HRMS &gt; Payroll &gt; Payslip</t>
        </is>
      </c>
      <c r="G242" s="15" t="inlineStr"/>
    </row>
    <row r="243">
      <c r="A243" s="15" t="n">
        <v>239</v>
      </c>
      <c r="B243" s="15" t="inlineStr">
        <is>
          <t>14. Payslip</t>
        </is>
      </c>
      <c r="C243" s="15" t="inlineStr">
        <is>
          <t>Deductions</t>
        </is>
      </c>
      <c r="D243" s="15" t="inlineStr">
        <is>
          <t>PF; ESI; PT; TDS; Salary Advance Recovery; Other Recovery / Deductions</t>
        </is>
      </c>
      <c r="E243" s="15" t="inlineStr">
        <is>
          <t>Built</t>
        </is>
      </c>
      <c r="F243" s="15" t="inlineStr">
        <is>
          <t>HRMS &gt; Payroll &gt; Payslip</t>
        </is>
      </c>
      <c r="G243" s="15" t="inlineStr"/>
    </row>
    <row r="244">
      <c r="A244" s="15" t="n">
        <v>240</v>
      </c>
      <c r="B244" s="15" t="inlineStr">
        <is>
          <t>14. Payslip</t>
        </is>
      </c>
      <c r="C244" s="15" t="inlineStr">
        <is>
          <t>Deductions</t>
        </is>
      </c>
      <c r="D244" s="15" t="inlineStr">
        <is>
          <t>LOP (as a deduction line)</t>
        </is>
      </c>
      <c r="E244" s="15" t="inlineStr">
        <is>
          <t>Built</t>
        </is>
      </c>
      <c r="F244" s="15" t="inlineStr">
        <is>
          <t>HRMS &gt; Payroll &gt; Payslip</t>
        </is>
      </c>
      <c r="G244" s="15" t="inlineStr">
        <is>
          <t>DONE 24 Oct: payslip template option 'Show LOP as a deduction line' (earnings at full amount, one LOP line, same net pay).</t>
        </is>
      </c>
    </row>
    <row r="245">
      <c r="A245" s="15" t="n">
        <v>241</v>
      </c>
      <c r="B245" s="15" t="inlineStr">
        <is>
          <t>14. Payslip</t>
        </is>
      </c>
      <c r="C245" s="15" t="inlineStr">
        <is>
          <t>Totals</t>
        </is>
      </c>
      <c r="D245" s="15" t="inlineStr">
        <is>
          <t>Gross Earnings; Total Deductions; Net Pay</t>
        </is>
      </c>
      <c r="E245" s="15" t="inlineStr">
        <is>
          <t>Built</t>
        </is>
      </c>
      <c r="F245" s="15" t="inlineStr">
        <is>
          <t>HRMS &gt; Payroll &gt; Payslip</t>
        </is>
      </c>
      <c r="G245" s="15" t="inlineStr">
        <is>
          <t>Plus net pay in words</t>
        </is>
      </c>
    </row>
    <row r="246">
      <c r="A246" s="15" t="n">
        <v>242</v>
      </c>
      <c r="B246" s="15" t="inlineStr">
        <is>
          <t>14. Payslip</t>
        </is>
      </c>
      <c r="C246" s="15" t="inlineStr">
        <is>
          <t>Template</t>
        </is>
      </c>
      <c r="D246" s="15" t="inlineStr">
        <is>
          <t>Sparsh-approved format; version retained per payroll period</t>
        </is>
      </c>
      <c r="E246" s="15" t="inlineStr">
        <is>
          <t>Pending Client Decision</t>
        </is>
      </c>
      <c r="F246" s="15" t="inlineStr">
        <is>
          <t>HRMS &gt; Payroll &gt; Payslip</t>
        </is>
      </c>
      <c r="G246" s="15" t="inlineStr">
        <is>
          <t>Template versioning and per-period freeze built; the Sparsh-approved format is still to come (section 19).</t>
        </is>
      </c>
    </row>
    <row r="247">
      <c r="A247" s="15" t="n">
        <v>243</v>
      </c>
      <c r="B247" s="15" t="inlineStr">
        <is>
          <t>14. Payslip</t>
        </is>
      </c>
      <c r="C247" s="15" t="inlineStr">
        <is>
          <t>Release</t>
        </is>
      </c>
      <c r="D247" s="15" t="inlineStr">
        <is>
          <t>Only after final approval / lock</t>
        </is>
      </c>
      <c r="E247" s="15" t="inlineStr">
        <is>
          <t>Built</t>
        </is>
      </c>
      <c r="F247" s="15" t="inlineStr">
        <is>
          <t>HRMS &gt; Payroll &gt; Payslip</t>
        </is>
      </c>
      <c r="G247" s="15" t="inlineStr">
        <is>
          <t>Release on lock or after payment (policy setting)</t>
        </is>
      </c>
    </row>
    <row r="248">
      <c r="A248" s="15" t="n">
        <v>244</v>
      </c>
      <c r="B248" s="15" t="inlineStr">
        <is>
          <t>16. Core Data Relationships</t>
        </is>
      </c>
      <c r="C248" s="15" t="inlineStr">
        <is>
          <t>Relationship</t>
        </is>
      </c>
      <c r="D248" s="15" t="inlineStr">
        <is>
          <t>Employee -&gt; multiple effective-dated Salary Structures</t>
        </is>
      </c>
      <c r="E248" s="15" t="inlineStr">
        <is>
          <t>Built</t>
        </is>
      </c>
      <c r="F248" s="15" t="inlineStr">
        <is>
          <t>Backend data model</t>
        </is>
      </c>
      <c r="G248" s="15" t="inlineStr"/>
    </row>
    <row r="249">
      <c r="A249" s="15" t="n">
        <v>245</v>
      </c>
      <c r="B249" s="15" t="inlineStr">
        <is>
          <t>16. Core Data Relationships</t>
        </is>
      </c>
      <c r="C249" s="15" t="inlineStr">
        <is>
          <t>Relationship</t>
        </is>
      </c>
      <c r="D249" s="15" t="inlineStr">
        <is>
          <t>Salary Structure -&gt; Component Lines</t>
        </is>
      </c>
      <c r="E249" s="15" t="inlineStr">
        <is>
          <t>Built</t>
        </is>
      </c>
      <c r="F249" s="15" t="inlineStr">
        <is>
          <t>Backend data model</t>
        </is>
      </c>
      <c r="G249" s="15" t="inlineStr"/>
    </row>
    <row r="250">
      <c r="A250" s="15" t="n">
        <v>246</v>
      </c>
      <c r="B250" s="15" t="inlineStr">
        <is>
          <t>16. Core Data Relationships</t>
        </is>
      </c>
      <c r="C250" s="15" t="inlineStr">
        <is>
          <t>Relationship</t>
        </is>
      </c>
      <c r="D250" s="15" t="inlineStr">
        <is>
          <t>Employee -&gt; Attendance Event / Day</t>
        </is>
      </c>
      <c r="E250" s="15" t="inlineStr">
        <is>
          <t>Built</t>
        </is>
      </c>
      <c r="F250" s="15" t="inlineStr">
        <is>
          <t>Backend data model</t>
        </is>
      </c>
      <c r="G250" s="15" t="inlineStr"/>
    </row>
    <row r="251">
      <c r="A251" s="15" t="n">
        <v>247</v>
      </c>
      <c r="B251" s="15" t="inlineStr">
        <is>
          <t>16. Core Data Relationships</t>
        </is>
      </c>
      <c r="C251" s="15" t="inlineStr">
        <is>
          <t>Relationship</t>
        </is>
      </c>
      <c r="D251" s="15" t="inlineStr">
        <is>
          <t>Attendance Day -&gt; Regularisation</t>
        </is>
      </c>
      <c r="E251" s="15" t="inlineStr">
        <is>
          <t>Built</t>
        </is>
      </c>
      <c r="F251" s="15" t="inlineStr">
        <is>
          <t>Backend data model</t>
        </is>
      </c>
      <c r="G251" s="15" t="inlineStr"/>
    </row>
    <row r="252">
      <c r="A252" s="15" t="n">
        <v>248</v>
      </c>
      <c r="B252" s="15" t="inlineStr">
        <is>
          <t>16. Core Data Relationships</t>
        </is>
      </c>
      <c r="C252" s="15" t="inlineStr">
        <is>
          <t>Relationship</t>
        </is>
      </c>
      <c r="D252" s="15" t="inlineStr">
        <is>
          <t>Attendance Month Lock -&gt; Payroll Period</t>
        </is>
      </c>
      <c r="E252" s="15" t="inlineStr">
        <is>
          <t>Built</t>
        </is>
      </c>
      <c r="F252" s="15" t="inlineStr">
        <is>
          <t>Backend data model</t>
        </is>
      </c>
      <c r="G252" s="15" t="inlineStr"/>
    </row>
    <row r="253">
      <c r="A253" s="15" t="n">
        <v>249</v>
      </c>
      <c r="B253" s="15" t="inlineStr">
        <is>
          <t>16. Core Data Relationships</t>
        </is>
      </c>
      <c r="C253" s="15" t="inlineStr">
        <is>
          <t>Relationship</t>
        </is>
      </c>
      <c r="D253" s="15" t="inlineStr">
        <is>
          <t>Payroll Period + Employee -&gt; Payroll Input</t>
        </is>
      </c>
      <c r="E253" s="15" t="inlineStr">
        <is>
          <t>Built</t>
        </is>
      </c>
      <c r="F253" s="15" t="inlineStr">
        <is>
          <t>Backend data model</t>
        </is>
      </c>
      <c r="G253" s="15" t="inlineStr"/>
    </row>
    <row r="254">
      <c r="A254" s="15" t="n">
        <v>250</v>
      </c>
      <c r="B254" s="15" t="inlineStr">
        <is>
          <t>16. Core Data Relationships</t>
        </is>
      </c>
      <c r="C254" s="15" t="inlineStr">
        <is>
          <t>Relationship</t>
        </is>
      </c>
      <c r="D254" s="15" t="inlineStr">
        <is>
          <t>Payroll Result -&gt; Result Lines</t>
        </is>
      </c>
      <c r="E254" s="15" t="inlineStr">
        <is>
          <t>Built</t>
        </is>
      </c>
      <c r="F254" s="15" t="inlineStr">
        <is>
          <t>Backend data model</t>
        </is>
      </c>
      <c r="G254" s="15" t="inlineStr"/>
    </row>
    <row r="255">
      <c r="A255" s="15" t="n">
        <v>251</v>
      </c>
      <c r="B255" s="15" t="inlineStr">
        <is>
          <t>16. Core Data Relationships</t>
        </is>
      </c>
      <c r="C255" s="15" t="inlineStr">
        <is>
          <t>Relationship</t>
        </is>
      </c>
      <c r="D255" s="15" t="inlineStr">
        <is>
          <t>Payroll Period -&gt; Approval Steps</t>
        </is>
      </c>
      <c r="E255" s="15" t="inlineStr">
        <is>
          <t>Built</t>
        </is>
      </c>
      <c r="F255" s="15" t="inlineStr">
        <is>
          <t>Backend data model</t>
        </is>
      </c>
      <c r="G255" s="15" t="inlineStr"/>
    </row>
    <row r="256">
      <c r="A256" s="15" t="n">
        <v>252</v>
      </c>
      <c r="B256" s="15" t="inlineStr">
        <is>
          <t>16. Core Data Relationships</t>
        </is>
      </c>
      <c r="C256" s="15" t="inlineStr">
        <is>
          <t>Relationship</t>
        </is>
      </c>
      <c r="D256" s="15" t="inlineStr">
        <is>
          <t>Payroll Result -&gt; Payslip</t>
        </is>
      </c>
      <c r="E256" s="15" t="inlineStr">
        <is>
          <t>Built</t>
        </is>
      </c>
      <c r="F256" s="15" t="inlineStr">
        <is>
          <t>Backend data model</t>
        </is>
      </c>
      <c r="G256" s="15" t="inlineStr"/>
    </row>
    <row r="257">
      <c r="A257" s="15" t="n">
        <v>253</v>
      </c>
      <c r="B257" s="15" t="inlineStr">
        <is>
          <t>16. Core Data Relationships</t>
        </is>
      </c>
      <c r="C257" s="15" t="inlineStr">
        <is>
          <t>Relationship</t>
        </is>
      </c>
      <c r="D257" s="15" t="inlineStr">
        <is>
          <t>Payroll Period -&gt; Bank Batch -&gt; Bank Payment</t>
        </is>
      </c>
      <c r="E257" s="15" t="inlineStr">
        <is>
          <t>Built</t>
        </is>
      </c>
      <c r="F257" s="15" t="inlineStr">
        <is>
          <t>Backend data model</t>
        </is>
      </c>
      <c r="G257" s="15" t="inlineStr"/>
    </row>
    <row r="258">
      <c r="A258" s="15" t="n">
        <v>254</v>
      </c>
      <c r="B258" s="15" t="inlineStr">
        <is>
          <t>16. Core Data Relationships</t>
        </is>
      </c>
      <c r="C258" s="15" t="inlineStr">
        <is>
          <t>Relationship</t>
        </is>
      </c>
      <c r="D258" s="15" t="inlineStr">
        <is>
          <t>Critical Entities -&gt; Audit Log</t>
        </is>
      </c>
      <c r="E258" s="15" t="inlineStr">
        <is>
          <t>Built</t>
        </is>
      </c>
      <c r="F258" s="15" t="inlineStr">
        <is>
          <t>Backend data model</t>
        </is>
      </c>
      <c r="G258" s="15" t="inlineStr"/>
    </row>
    <row r="259">
      <c r="A259" s="15" t="n">
        <v>255</v>
      </c>
      <c r="B259" s="15" t="inlineStr">
        <is>
          <t>17. Roles &amp; Access</t>
        </is>
      </c>
      <c r="C259" s="15" t="inlineStr">
        <is>
          <t>Role</t>
        </is>
      </c>
      <c r="D259" s="15" t="inlineStr">
        <is>
          <t>Employee: own profile, attendance calendar, late-coming, regularisation, final payslip</t>
        </is>
      </c>
      <c r="E259" s="15" t="inlineStr">
        <is>
          <t>Built</t>
        </is>
      </c>
      <c r="F259" s="15" t="inlineStr">
        <is>
          <t>HRMS permissions</t>
        </is>
      </c>
      <c r="G259" s="15" t="inlineStr"/>
    </row>
    <row r="260">
      <c r="A260" s="15" t="n">
        <v>256</v>
      </c>
      <c r="B260" s="15" t="inlineStr">
        <is>
          <t>17. Roles &amp; Access</t>
        </is>
      </c>
      <c r="C260" s="15" t="inlineStr">
        <is>
          <t>Role</t>
        </is>
      </c>
      <c r="D260" s="15" t="inlineStr">
        <is>
          <t>Reporting Manager: team attendance; approve regularisation / OD</t>
        </is>
      </c>
      <c r="E260" s="15" t="inlineStr">
        <is>
          <t>Built</t>
        </is>
      </c>
      <c r="F260" s="15" t="inlineStr">
        <is>
          <t>HRMS permissions</t>
        </is>
      </c>
      <c r="G260" s="15" t="inlineStr">
        <is>
          <t>Manager step only; HR gives final sign-off</t>
        </is>
      </c>
    </row>
    <row r="261">
      <c r="A261" s="15" t="n">
        <v>257</v>
      </c>
      <c r="B261" s="15" t="inlineStr">
        <is>
          <t>17. Roles &amp; Access</t>
        </is>
      </c>
      <c r="C261" s="15" t="inlineStr">
        <is>
          <t>Role</t>
        </is>
      </c>
      <c r="D261" s="15" t="inlineStr">
        <is>
          <t>HR: employee records, attendance configuration, exceptions, attendance lock</t>
        </is>
      </c>
      <c r="E261" s="15" t="inlineStr">
        <is>
          <t>Built</t>
        </is>
      </c>
      <c r="F261" s="15" t="inlineStr">
        <is>
          <t>HRMS permissions</t>
        </is>
      </c>
      <c r="G261" s="15" t="inlineStr"/>
    </row>
    <row r="262">
      <c r="A262" s="15" t="n">
        <v>258</v>
      </c>
      <c r="B262" s="15" t="inlineStr">
        <is>
          <t>17. Roles &amp; Access</t>
        </is>
      </c>
      <c r="C262" s="15" t="inlineStr">
        <is>
          <t>Role</t>
        </is>
      </c>
      <c r="D262" s="15" t="inlineStr">
        <is>
          <t>Payroll Maker: salary structures, inputs, calculate, submit</t>
        </is>
      </c>
      <c r="E262" s="15" t="inlineStr">
        <is>
          <t>Built</t>
        </is>
      </c>
      <c r="F262" s="15" t="inlineStr">
        <is>
          <t>HRMS permissions</t>
        </is>
      </c>
      <c r="G262" s="15" t="inlineStr"/>
    </row>
    <row r="263">
      <c r="A263" s="15" t="n">
        <v>259</v>
      </c>
      <c r="B263" s="15" t="inlineStr">
        <is>
          <t>17. Roles &amp; Access</t>
        </is>
      </c>
      <c r="C263" s="15" t="inlineStr">
        <is>
          <t>Role</t>
        </is>
      </c>
      <c r="D263" s="15" t="inlineStr">
        <is>
          <t>Payroll / HR Checker: review calculations, exceptions, variance</t>
        </is>
      </c>
      <c r="E263" s="15" t="inlineStr">
        <is>
          <t>Built</t>
        </is>
      </c>
      <c r="F263" s="15" t="inlineStr">
        <is>
          <t>HRMS permissions</t>
        </is>
      </c>
      <c r="G263" s="15" t="inlineStr">
        <is>
          <t>Separate Check permission, run status and endpoint; HR checks, Finance approves; checker differs from maker and approver.</t>
        </is>
      </c>
    </row>
    <row r="264">
      <c r="A264" s="15" t="n">
        <v>260</v>
      </c>
      <c r="B264" s="15" t="inlineStr">
        <is>
          <t>17. Roles &amp; Access</t>
        </is>
      </c>
      <c r="C264" s="15" t="inlineStr">
        <is>
          <t>Role</t>
        </is>
      </c>
      <c r="D264" s="15" t="inlineStr">
        <is>
          <t>Finance / Authorised Approver: final approval and payment controls</t>
        </is>
      </c>
      <c r="E264" s="15" t="inlineStr">
        <is>
          <t>Built</t>
        </is>
      </c>
      <c r="F264" s="15" t="inlineStr">
        <is>
          <t>HRMS permissions</t>
        </is>
      </c>
      <c r="G264" s="15" t="inlineStr"/>
    </row>
    <row r="265">
      <c r="A265" s="15" t="n">
        <v>261</v>
      </c>
      <c r="B265" s="15" t="inlineStr">
        <is>
          <t>17. Roles &amp; Access</t>
        </is>
      </c>
      <c r="C265" s="15" t="inlineStr">
        <is>
          <t>Role</t>
        </is>
      </c>
      <c r="D265" s="15" t="inlineStr">
        <is>
          <t>System Admin: no automatic entitlement to payroll-sensitive values</t>
        </is>
      </c>
      <c r="E265" s="15" t="inlineStr">
        <is>
          <t>Built</t>
        </is>
      </c>
      <c r="F265" s="15" t="inlineStr">
        <is>
          <t>HRMS permissions</t>
        </is>
      </c>
      <c r="G265" s="15" t="inlineStr">
        <is>
          <t>DONE 24 Oct: Roles &amp; Permissions switch: superadmin sees payroll values only when explicitly granted (off by default to keep current access). Platform admin role never had payroll access.</t>
        </is>
      </c>
    </row>
    <row r="266">
      <c r="A266" s="15" t="n">
        <v>262</v>
      </c>
      <c r="B266" s="15" t="inlineStr">
        <is>
          <t>18. Validation &amp; Control Requirements</t>
        </is>
      </c>
      <c r="C266" s="15" t="inlineStr">
        <is>
          <t>Control</t>
        </is>
      </c>
      <c r="D266" s="15" t="inlineStr">
        <is>
          <t>Employee duplication checked before creating a record</t>
        </is>
      </c>
      <c r="E266" s="15" t="inlineStr">
        <is>
          <t>Built</t>
        </is>
      </c>
      <c r="F266" s="15" t="inlineStr">
        <is>
          <t>System-wide</t>
        </is>
      </c>
      <c r="G266" s="15" t="inlineStr"/>
    </row>
    <row r="267">
      <c r="A267" s="15" t="n">
        <v>263</v>
      </c>
      <c r="B267" s="15" t="inlineStr">
        <is>
          <t>18. Validation &amp; Control Requirements</t>
        </is>
      </c>
      <c r="C267" s="15" t="inlineStr">
        <is>
          <t>Control</t>
        </is>
      </c>
      <c r="D267" s="15" t="inlineStr">
        <is>
          <t>Sensitive bank, statutory and salary fields restricted</t>
        </is>
      </c>
      <c r="E267" s="15" t="inlineStr">
        <is>
          <t>Built</t>
        </is>
      </c>
      <c r="F267" s="15" t="inlineStr">
        <is>
          <t>System-wide</t>
        </is>
      </c>
      <c r="G267" s="15" t="inlineStr"/>
    </row>
    <row r="268">
      <c r="A268" s="15" t="n">
        <v>264</v>
      </c>
      <c r="B268" s="15" t="inlineStr">
        <is>
          <t>18. Validation &amp; Control Requirements</t>
        </is>
      </c>
      <c r="C268" s="15" t="inlineStr">
        <is>
          <t>Control</t>
        </is>
      </c>
      <c r="D268" s="15" t="inlineStr">
        <is>
          <t>Salary structures and organisation / reporting changes effective-dated</t>
        </is>
      </c>
      <c r="E268" s="15" t="inlineStr">
        <is>
          <t>Built</t>
        </is>
      </c>
      <c r="F268" s="15" t="inlineStr">
        <is>
          <t>System-wide</t>
        </is>
      </c>
      <c r="G268" s="15" t="inlineStr"/>
    </row>
    <row r="269">
      <c r="A269" s="15" t="n">
        <v>265</v>
      </c>
      <c r="B269" s="15" t="inlineStr">
        <is>
          <t>18. Validation &amp; Control Requirements</t>
        </is>
      </c>
      <c r="C269" s="15" t="inlineStr">
        <is>
          <t>Control</t>
        </is>
      </c>
      <c r="D269" s="15" t="inlineStr">
        <is>
          <t>Raw attendance traceable after regularisation</t>
        </is>
      </c>
      <c r="E269" s="15" t="inlineStr">
        <is>
          <t>Built</t>
        </is>
      </c>
      <c r="F269" s="15" t="inlineStr">
        <is>
          <t>System-wide</t>
        </is>
      </c>
      <c r="G269" s="15" t="inlineStr"/>
    </row>
    <row r="270">
      <c r="A270" s="15" t="n">
        <v>266</v>
      </c>
      <c r="B270" s="15" t="inlineStr">
        <is>
          <t>18. Validation &amp; Control Requirements</t>
        </is>
      </c>
      <c r="C270" s="15" t="inlineStr">
        <is>
          <t>Control</t>
        </is>
      </c>
      <c r="D270" s="15" t="inlineStr">
        <is>
          <t>Attendance locked before payroll is finalised</t>
        </is>
      </c>
      <c r="E270" s="15" t="inlineStr">
        <is>
          <t>Built</t>
        </is>
      </c>
      <c r="F270" s="15" t="inlineStr">
        <is>
          <t>System-wide</t>
        </is>
      </c>
      <c r="G270" s="15" t="inlineStr"/>
    </row>
    <row r="271">
      <c r="A271" s="15" t="n">
        <v>267</v>
      </c>
      <c r="B271" s="15" t="inlineStr">
        <is>
          <t>18. Validation &amp; Control Requirements</t>
        </is>
      </c>
      <c r="C271" s="15" t="inlineStr">
        <is>
          <t>Control</t>
        </is>
      </c>
      <c r="D271" s="15" t="inlineStr">
        <is>
          <t>Payroll uses the locked attendance snapshot</t>
        </is>
      </c>
      <c r="E271" s="15" t="inlineStr">
        <is>
          <t>Built</t>
        </is>
      </c>
      <c r="F271" s="15" t="inlineStr">
        <is>
          <t>System-wide</t>
        </is>
      </c>
      <c r="G271" s="15" t="inlineStr"/>
    </row>
    <row r="272">
      <c r="A272" s="15" t="n">
        <v>268</v>
      </c>
      <c r="B272" s="15" t="inlineStr">
        <is>
          <t>18. Validation &amp; Control Requirements</t>
        </is>
      </c>
      <c r="C272" s="15" t="inlineStr">
        <is>
          <t>Control</t>
        </is>
      </c>
      <c r="D272" s="15" t="inlineStr">
        <is>
          <t>Exception reporting and previous-month variance</t>
        </is>
      </c>
      <c r="E272" s="15" t="inlineStr">
        <is>
          <t>Built</t>
        </is>
      </c>
      <c r="F272" s="15" t="inlineStr">
        <is>
          <t>System-wide</t>
        </is>
      </c>
      <c r="G272" s="15" t="inlineStr"/>
    </row>
    <row r="273">
      <c r="A273" s="15" t="n">
        <v>269</v>
      </c>
      <c r="B273" s="15" t="inlineStr">
        <is>
          <t>18. Validation &amp; Control Requirements</t>
        </is>
      </c>
      <c r="C273" s="15" t="inlineStr">
        <is>
          <t>Control</t>
        </is>
      </c>
      <c r="D273" s="15" t="inlineStr">
        <is>
          <t>Maker-checker approval mandatory before payroll lock</t>
        </is>
      </c>
      <c r="E273" s="15" t="inlineStr">
        <is>
          <t>Built</t>
        </is>
      </c>
      <c r="F273" s="15" t="inlineStr">
        <is>
          <t>System-wide</t>
        </is>
      </c>
      <c r="G273" s="15" t="inlineStr"/>
    </row>
    <row r="274">
      <c r="A274" s="15" t="n">
        <v>270</v>
      </c>
      <c r="B274" s="15" t="inlineStr">
        <is>
          <t>18. Validation &amp; Control Requirements</t>
        </is>
      </c>
      <c r="C274" s="15" t="inlineStr">
        <is>
          <t>Control</t>
        </is>
      </c>
      <c r="D274" s="15" t="inlineStr">
        <is>
          <t>Locked payroll not edited in place (adjustment / arrear / reversal)</t>
        </is>
      </c>
      <c r="E274" s="15" t="inlineStr">
        <is>
          <t>Built</t>
        </is>
      </c>
      <c r="F274" s="15" t="inlineStr">
        <is>
          <t>System-wide</t>
        </is>
      </c>
      <c r="G274" s="15" t="inlineStr"/>
    </row>
    <row r="275">
      <c r="A275" s="15" t="n">
        <v>271</v>
      </c>
      <c r="B275" s="15" t="inlineStr">
        <is>
          <t>18. Validation &amp; Control Requirements</t>
        </is>
      </c>
      <c r="C275" s="15" t="inlineStr">
        <is>
          <t>Control</t>
        </is>
      </c>
      <c r="D275" s="15" t="inlineStr">
        <is>
          <t>Bank file only from approved / locked payroll</t>
        </is>
      </c>
      <c r="E275" s="15" t="inlineStr">
        <is>
          <t>Built</t>
        </is>
      </c>
      <c r="F275" s="15" t="inlineStr">
        <is>
          <t>System-wide</t>
        </is>
      </c>
      <c r="G275" s="15" t="inlineStr"/>
    </row>
    <row r="276">
      <c r="A276" s="15" t="n">
        <v>272</v>
      </c>
      <c r="B276" s="15" t="inlineStr">
        <is>
          <t>18. Validation &amp; Control Requirements</t>
        </is>
      </c>
      <c r="C276" s="15" t="inlineStr">
        <is>
          <t>Control</t>
        </is>
      </c>
      <c r="D276" s="15" t="inlineStr">
        <is>
          <t>Payment status and UTR retained per employee / batch</t>
        </is>
      </c>
      <c r="E276" s="15" t="inlineStr">
        <is>
          <t>Built</t>
        </is>
      </c>
      <c r="F276" s="15" t="inlineStr">
        <is>
          <t>System-wide</t>
        </is>
      </c>
      <c r="G276" s="15" t="inlineStr"/>
    </row>
    <row r="277">
      <c r="A277" s="15" t="n">
        <v>273</v>
      </c>
      <c r="B277" s="15" t="inlineStr">
        <is>
          <t>18. Validation &amp; Control Requirements</t>
        </is>
      </c>
      <c r="C277" s="15" t="inlineStr">
        <is>
          <t>Control</t>
        </is>
      </c>
      <c r="D277" s="15" t="inlineStr">
        <is>
          <t>Payslip reflects component values used in final payroll</t>
        </is>
      </c>
      <c r="E277" s="15" t="inlineStr">
        <is>
          <t>Built</t>
        </is>
      </c>
      <c r="F277" s="15" t="inlineStr">
        <is>
          <t>System-wide</t>
        </is>
      </c>
      <c r="G277" s="15" t="inlineStr"/>
    </row>
    <row r="278">
      <c r="A278" s="15" t="n">
        <v>274</v>
      </c>
      <c r="B278" s="15" t="inlineStr">
        <is>
          <t>18. Validation &amp; Control Requirements</t>
        </is>
      </c>
      <c r="C278" s="15" t="inlineStr">
        <is>
          <t>Control</t>
        </is>
      </c>
      <c r="D278" s="15" t="inlineStr">
        <is>
          <t>Audit trail for create / update / approve / reject / lock / payment</t>
        </is>
      </c>
      <c r="E278" s="15" t="inlineStr">
        <is>
          <t>Built</t>
        </is>
      </c>
      <c r="F278" s="15" t="inlineStr">
        <is>
          <t>System-wide</t>
        </is>
      </c>
      <c r="G278" s="15" t="inlineStr"/>
    </row>
    <row r="279">
      <c r="A279" s="15" t="n">
        <v>275</v>
      </c>
      <c r="B279" s="15" t="inlineStr">
        <is>
          <t>20. Phase 1 Acceptance Criteria</t>
        </is>
      </c>
      <c r="C279" s="15" t="inlineStr">
        <is>
          <t>Criterion</t>
        </is>
      </c>
      <c r="D279" s="15" t="inlineStr">
        <is>
          <t>HR can create an employee with organisation, reporting, attendance and payroll linkage</t>
        </is>
      </c>
      <c r="E279" s="15" t="inlineStr">
        <is>
          <t>Built</t>
        </is>
      </c>
      <c r="F279" s="15" t="inlineStr">
        <is>
          <t>Tested end-to-end on a copy of the data</t>
        </is>
      </c>
      <c r="G279" s="15" t="inlineStr"/>
    </row>
    <row r="280">
      <c r="A280" s="15" t="n">
        <v>276</v>
      </c>
      <c r="B280" s="15" t="inlineStr">
        <is>
          <t>20. Phase 1 Acceptance Criteria</t>
        </is>
      </c>
      <c r="C280" s="15" t="inlineStr">
        <is>
          <t>Criterion</t>
        </is>
      </c>
      <c r="D280" s="15" t="inlineStr">
        <is>
          <t>Employee changes preserve history</t>
        </is>
      </c>
      <c r="E280" s="15" t="inlineStr">
        <is>
          <t>Built</t>
        </is>
      </c>
      <c r="F280" s="15" t="inlineStr">
        <is>
          <t>Tested end-to-end on a copy of the data</t>
        </is>
      </c>
      <c r="G280" s="15" t="inlineStr"/>
    </row>
    <row r="281">
      <c r="A281" s="15" t="n">
        <v>277</v>
      </c>
      <c r="B281" s="15" t="inlineStr">
        <is>
          <t>20. Phase 1 Acceptance Criteria</t>
        </is>
      </c>
      <c r="C281" s="15" t="inlineStr">
        <is>
          <t>Criterion</t>
        </is>
      </c>
      <c r="D281" s="15" t="inlineStr">
        <is>
          <t>Daily attendance calculates status, hours and late-coming</t>
        </is>
      </c>
      <c r="E281" s="15" t="inlineStr">
        <is>
          <t>Built</t>
        </is>
      </c>
      <c r="F281" s="15" t="inlineStr">
        <is>
          <t>Tested end-to-end on a copy of the data</t>
        </is>
      </c>
      <c r="G281" s="15" t="inlineStr"/>
    </row>
    <row r="282">
      <c r="A282" s="15" t="n">
        <v>278</v>
      </c>
      <c r="B282" s="15" t="inlineStr">
        <is>
          <t>20. Phase 1 Acceptance Criteria</t>
        </is>
      </c>
      <c r="C282" s="15" t="inlineStr">
        <is>
          <t>Criterion</t>
        </is>
      </c>
      <c r="D282" s="15" t="inlineStr">
        <is>
          <t>Employees / Managers complete the regularisation flow</t>
        </is>
      </c>
      <c r="E282" s="15" t="inlineStr">
        <is>
          <t>Built</t>
        </is>
      </c>
      <c r="F282" s="15" t="inlineStr">
        <is>
          <t>Tested end-to-end on a copy of the data</t>
        </is>
      </c>
      <c r="G282" s="15" t="inlineStr"/>
    </row>
    <row r="283">
      <c r="A283" s="15" t="n">
        <v>279</v>
      </c>
      <c r="B283" s="15" t="inlineStr">
        <is>
          <t>20. Phase 1 Acceptance Criteria</t>
        </is>
      </c>
      <c r="C283" s="15" t="inlineStr">
        <is>
          <t>Criterion</t>
        </is>
      </c>
      <c r="D283" s="15" t="inlineStr">
        <is>
          <t>HR resolves exceptions, calculates payable days / LOP and locks attendance</t>
        </is>
      </c>
      <c r="E283" s="15" t="inlineStr">
        <is>
          <t>Built</t>
        </is>
      </c>
      <c r="F283" s="15" t="inlineStr">
        <is>
          <t>Tested end-to-end on a copy of the data</t>
        </is>
      </c>
      <c r="G283" s="15" t="inlineStr"/>
    </row>
    <row r="284">
      <c r="A284" s="15" t="n">
        <v>280</v>
      </c>
      <c r="B284" s="15" t="inlineStr">
        <is>
          <t>20. Phase 1 Acceptance Criteria</t>
        </is>
      </c>
      <c r="C284" s="15" t="inlineStr">
        <is>
          <t>Criterion</t>
        </is>
      </c>
      <c r="D284" s="15" t="inlineStr">
        <is>
          <t>Payroll loads the locked attendance and current salary structure</t>
        </is>
      </c>
      <c r="E284" s="15" t="inlineStr">
        <is>
          <t>Built</t>
        </is>
      </c>
      <c r="F284" s="15" t="inlineStr">
        <is>
          <t>Tested end-to-end on a copy of the data</t>
        </is>
      </c>
      <c r="G284" s="15" t="inlineStr"/>
    </row>
    <row r="285">
      <c r="A285" s="15" t="n">
        <v>281</v>
      </c>
      <c r="B285" s="15" t="inlineStr">
        <is>
          <t>20. Phase 1 Acceptance Criteria</t>
        </is>
      </c>
      <c r="C285" s="15" t="inlineStr">
        <is>
          <t>Criterion</t>
        </is>
      </c>
      <c r="D285" s="15" t="inlineStr">
        <is>
          <t>Payroll accepts reimbursement, arrears, other earnings and recovery inputs</t>
        </is>
      </c>
      <c r="E285" s="15" t="inlineStr">
        <is>
          <t>Built</t>
        </is>
      </c>
      <c r="F285" s="15" t="inlineStr">
        <is>
          <t>Tested end-to-end on a copy of the data</t>
        </is>
      </c>
      <c r="G285" s="15" t="inlineStr"/>
    </row>
    <row r="286">
      <c r="A286" s="15" t="n">
        <v>282</v>
      </c>
      <c r="B286" s="15" t="inlineStr">
        <is>
          <t>20. Phase 1 Acceptance Criteria</t>
        </is>
      </c>
      <c r="C286" s="15" t="inlineStr">
        <is>
          <t>Criterion</t>
        </is>
      </c>
      <c r="D286" s="15" t="inlineStr">
        <is>
          <t>Payroll calculates gross, deductions, employer contributions and net component-wise</t>
        </is>
      </c>
      <c r="E286" s="15" t="inlineStr">
        <is>
          <t>Built</t>
        </is>
      </c>
      <c r="F286" s="15" t="inlineStr">
        <is>
          <t>Tested end-to-end on a copy of the data</t>
        </is>
      </c>
      <c r="G286" s="15" t="inlineStr"/>
    </row>
    <row r="287">
      <c r="A287" s="15" t="n">
        <v>283</v>
      </c>
      <c r="B287" s="15" t="inlineStr">
        <is>
          <t>20. Phase 1 Acceptance Criteria</t>
        </is>
      </c>
      <c r="C287" s="15" t="inlineStr">
        <is>
          <t>Criterion</t>
        </is>
      </c>
      <c r="D287" s="15" t="inlineStr">
        <is>
          <t>Maker reviews exceptions / variance, corrects and reruns</t>
        </is>
      </c>
      <c r="E287" s="15" t="inlineStr">
        <is>
          <t>Built</t>
        </is>
      </c>
      <c r="F287" s="15" t="inlineStr">
        <is>
          <t>Tested end-to-end on a copy of the data</t>
        </is>
      </c>
      <c r="G287" s="15" t="inlineStr"/>
    </row>
    <row r="288">
      <c r="A288" s="15" t="n">
        <v>284</v>
      </c>
      <c r="B288" s="15" t="inlineStr">
        <is>
          <t>20. Phase 1 Acceptance Criteria</t>
        </is>
      </c>
      <c r="C288" s="15" t="inlineStr">
        <is>
          <t>Criterion</t>
        </is>
      </c>
      <c r="D288" s="15" t="inlineStr">
        <is>
          <t>Checker / Finance can approve, reject or return</t>
        </is>
      </c>
      <c r="E288" s="15" t="inlineStr">
        <is>
          <t>Built</t>
        </is>
      </c>
      <c r="F288" s="15" t="inlineStr">
        <is>
          <t>Tested end-to-end on a copy of the data</t>
        </is>
      </c>
      <c r="G288" s="15" t="inlineStr"/>
    </row>
    <row r="289">
      <c r="A289" s="15" t="n">
        <v>285</v>
      </c>
      <c r="B289" s="15" t="inlineStr">
        <is>
          <t>20. Phase 1 Acceptance Criteria</t>
        </is>
      </c>
      <c r="C289" s="15" t="inlineStr">
        <is>
          <t>Criterion</t>
        </is>
      </c>
      <c r="D289" s="15" t="inlineStr">
        <is>
          <t>Approved payroll is locked and cannot be edited</t>
        </is>
      </c>
      <c r="E289" s="15" t="inlineStr">
        <is>
          <t>Built</t>
        </is>
      </c>
      <c r="F289" s="15" t="inlineStr">
        <is>
          <t>Tested end-to-end on a copy of the data</t>
        </is>
      </c>
      <c r="G289" s="15" t="inlineStr"/>
    </row>
    <row r="290">
      <c r="A290" s="15" t="n">
        <v>286</v>
      </c>
      <c r="B290" s="15" t="inlineStr">
        <is>
          <t>20. Phase 1 Acceptance Criteria</t>
        </is>
      </c>
      <c r="C290" s="15" t="inlineStr">
        <is>
          <t>Criterion</t>
        </is>
      </c>
      <c r="D290" s="15" t="inlineStr">
        <is>
          <t>System generates payroll register, payslips and bank payment output</t>
        </is>
      </c>
      <c r="E290" s="15" t="inlineStr">
        <is>
          <t>Built</t>
        </is>
      </c>
      <c r="F290" s="15" t="inlineStr">
        <is>
          <t>Tested end-to-end on a copy of the data</t>
        </is>
      </c>
      <c r="G290" s="15" t="inlineStr"/>
    </row>
    <row r="291">
      <c r="A291" s="15" t="n">
        <v>287</v>
      </c>
      <c r="B291" s="15" t="inlineStr">
        <is>
          <t>20. Phase 1 Acceptance Criteria</t>
        </is>
      </c>
      <c r="C291" s="15" t="inlineStr">
        <is>
          <t>Criterion</t>
        </is>
      </c>
      <c r="D291" s="15" t="inlineStr">
        <is>
          <t>Finance captures batch, UTR and success / failure status</t>
        </is>
      </c>
      <c r="E291" s="15" t="inlineStr">
        <is>
          <t>Built</t>
        </is>
      </c>
      <c r="F291" s="15" t="inlineStr">
        <is>
          <t>Tested end-to-end on a copy of the data</t>
        </is>
      </c>
      <c r="G291" s="15" t="inlineStr"/>
    </row>
    <row r="292">
      <c r="A292" s="15" t="n">
        <v>288</v>
      </c>
      <c r="B292" s="15" t="inlineStr">
        <is>
          <t>20. Phase 1 Acceptance Criteria</t>
        </is>
      </c>
      <c r="C292" s="15" t="inlineStr">
        <is>
          <t>Criterion</t>
        </is>
      </c>
      <c r="D292" s="15" t="inlineStr">
        <is>
          <t>Employee receives the final approved payslip</t>
        </is>
      </c>
      <c r="E292" s="15" t="inlineStr">
        <is>
          <t>Built</t>
        </is>
      </c>
      <c r="F292" s="15" t="inlineStr">
        <is>
          <t>Tested end-to-end on a copy of the data</t>
        </is>
      </c>
      <c r="G292" s="15" t="inlineStr"/>
    </row>
    <row r="293">
      <c r="A293" s="15" t="n">
        <v>289</v>
      </c>
      <c r="B293" s="15" t="inlineStr">
        <is>
          <t>21. Cross-Module Configurability</t>
        </is>
      </c>
      <c r="C293" s="15" t="inlineStr">
        <is>
          <t>Capability</t>
        </is>
      </c>
      <c r="D293" s="15" t="inlineStr">
        <is>
          <t>Employee Fields: add / relabel / mandatory / show-hide / order / dropdowns / retire</t>
        </is>
      </c>
      <c r="E293" s="15" t="inlineStr">
        <is>
          <t>Built</t>
        </is>
      </c>
      <c r="F293" s="15" t="inlineStr">
        <is>
          <t>HRMS &gt; Employee Master Setup / Attendance / Payroll</t>
        </is>
      </c>
      <c r="G293" s="15" t="inlineStr">
        <is>
          <t>Configurable fields</t>
        </is>
      </c>
    </row>
    <row r="294">
      <c r="A294" s="15" t="n">
        <v>290</v>
      </c>
      <c r="B294" s="15" t="inlineStr">
        <is>
          <t>21. Cross-Module Configurability</t>
        </is>
      </c>
      <c r="C294" s="15" t="inlineStr">
        <is>
          <t>Capability</t>
        </is>
      </c>
      <c r="D294" s="15" t="inlineStr">
        <is>
          <t>Attendance Fields: operational fields and flags; display, validation, source mapping</t>
        </is>
      </c>
      <c r="E294" s="15" t="inlineStr">
        <is>
          <t>Built</t>
        </is>
      </c>
      <c r="F294" s="15" t="inlineStr">
        <is>
          <t>HRMS &gt; Employee Master Setup / Attendance / Payroll</t>
        </is>
      </c>
      <c r="G294" s="15" t="inlineStr">
        <is>
          <t>DONE 24 Oct: attendance fields can name an import-file column (source mapping); the biometric import fills them.</t>
        </is>
      </c>
    </row>
    <row r="295">
      <c r="A295" s="15" t="n">
        <v>291</v>
      </c>
      <c r="B295" s="15" t="inlineStr">
        <is>
          <t>21. Cross-Module Configurability</t>
        </is>
      </c>
      <c r="C295" s="15" t="inlineStr">
        <is>
          <t>Capability</t>
        </is>
      </c>
      <c r="D295" s="15" t="inlineStr">
        <is>
          <t>Attendance Rules / Policy by effective date</t>
        </is>
      </c>
      <c r="E295" s="15" t="inlineStr">
        <is>
          <t>Built</t>
        </is>
      </c>
      <c r="F295" s="15" t="inlineStr">
        <is>
          <t>HRMS &gt; Employee Master Setup / Attendance / Payroll</t>
        </is>
      </c>
      <c r="G295" s="15" t="inlineStr">
        <is>
          <t>Daily rules, regularisation and closure are effective-dated policy versions resolved per employee per date.</t>
        </is>
      </c>
    </row>
    <row r="296">
      <c r="A296" s="15" t="n">
        <v>292</v>
      </c>
      <c r="B296" s="15" t="inlineStr">
        <is>
          <t>21. Cross-Module Configurability</t>
        </is>
      </c>
      <c r="C296" s="15" t="inlineStr">
        <is>
          <t>Capability</t>
        </is>
      </c>
      <c r="D296" s="15" t="inlineStr">
        <is>
          <t>Salary Components: create / modify / deactivate without code deployment</t>
        </is>
      </c>
      <c r="E296" s="15" t="inlineStr">
        <is>
          <t>Built</t>
        </is>
      </c>
      <c r="F296" s="15" t="inlineStr">
        <is>
          <t>HRMS &gt; Employee Master Setup / Attendance / Payroll</t>
        </is>
      </c>
      <c r="G296" s="15" t="inlineStr"/>
    </row>
    <row r="297">
      <c r="A297" s="15" t="n">
        <v>293</v>
      </c>
      <c r="B297" s="15" t="inlineStr">
        <is>
          <t>21. Cross-Module Configurability</t>
        </is>
      </c>
      <c r="C297" s="15" t="inlineStr">
        <is>
          <t>Capability</t>
        </is>
      </c>
      <c r="D297" s="15" t="inlineStr">
        <is>
          <t>Payroll Calculations: formulas, conditions, slab / % / fixed, calculation sequence</t>
        </is>
      </c>
      <c r="E297" s="15" t="inlineStr">
        <is>
          <t>Built</t>
        </is>
      </c>
      <c r="F297" s="15" t="inlineStr">
        <is>
          <t>HRMS &gt; Employee Master Setup / Attendance / Payroll</t>
        </is>
      </c>
      <c r="G297" s="15" t="inlineStr"/>
    </row>
    <row r="298">
      <c r="A298" s="15" t="n">
        <v>294</v>
      </c>
      <c r="B298" s="15" t="inlineStr">
        <is>
          <t>21. Cross-Module Configurability</t>
        </is>
      </c>
      <c r="C298" s="15" t="inlineStr">
        <is>
          <t>Capability</t>
        </is>
      </c>
      <c r="D298" s="15" t="inlineStr">
        <is>
          <t>Payroll Policy: cut-off, eligibility, applicability, rounding, approval controls with versioning</t>
        </is>
      </c>
      <c r="E298" s="15" t="inlineStr">
        <is>
          <t>Built</t>
        </is>
      </c>
      <c r="F298" s="15" t="inlineStr">
        <is>
          <t>HRMS &gt; Employee Master Setup / Attendance / Payroll</t>
        </is>
      </c>
      <c r="G298" s="15" t="inlineStr">
        <is>
          <t>DONE 24 Oct: eligibility (categories left out), cut-off enforcement, approval matrix from the screen (was dropped), versioning, scope.</t>
        </is>
      </c>
    </row>
    <row r="299">
      <c r="A299" s="15" t="n">
        <v>295</v>
      </c>
      <c r="B299" s="15" t="inlineStr">
        <is>
          <t>21. Cross-Module Configurability</t>
        </is>
      </c>
      <c r="C299" s="15" t="inlineStr">
        <is>
          <t>Capability</t>
        </is>
      </c>
      <c r="D299" s="15" t="inlineStr">
        <is>
          <t>Payslip Layout Mapping: components to sections; hide zero; retain template per period</t>
        </is>
      </c>
      <c r="E299" s="15" t="inlineStr">
        <is>
          <t>Built</t>
        </is>
      </c>
      <c r="F299" s="15" t="inlineStr">
        <is>
          <t>HRMS &gt; Employee Master Setup / Attendance / Payroll</t>
        </is>
      </c>
      <c r="G299" s="15" t="inlineStr"/>
    </row>
    <row r="300">
      <c r="A300" s="15" t="n">
        <v>296</v>
      </c>
      <c r="B300" s="15" t="inlineStr">
        <is>
          <t>21. Cross-Module Configurability</t>
        </is>
      </c>
      <c r="C300" s="15" t="inlineStr">
        <is>
          <t>Capability</t>
        </is>
      </c>
      <c r="D300" s="15" t="inlineStr">
        <is>
          <t>Used items retired / deactivated, never physically deleted</t>
        </is>
      </c>
      <c r="E300" s="15" t="inlineStr">
        <is>
          <t>Built</t>
        </is>
      </c>
      <c r="F300" s="15" t="inlineStr">
        <is>
          <t>HRMS &gt; Employee Master Setup / Attendance / Payroll</t>
        </is>
      </c>
      <c r="G300" s="15" t="inlineStr">
        <is>
          <t>Fields and components retire</t>
        </is>
      </c>
    </row>
    <row r="301">
      <c r="A301" s="15" t="n">
        <v>297</v>
      </c>
      <c r="B301" s="15" t="inlineStr">
        <is>
          <t>22. Configurable Field Management</t>
        </is>
      </c>
      <c r="C301" s="15" t="inlineStr">
        <is>
          <t>Identity</t>
        </is>
      </c>
      <c r="D301" s="15" t="inlineStr">
        <is>
          <t>Module, Section, Field Code, Label, Help Text</t>
        </is>
      </c>
      <c r="E301" s="15" t="inlineStr">
        <is>
          <t>Built</t>
        </is>
      </c>
      <c r="F301" s="15" t="inlineStr">
        <is>
          <t>HRMS &gt; Employee Master Setup &gt; Configurable fields</t>
        </is>
      </c>
      <c r="G301" s="15" t="inlineStr"/>
    </row>
    <row r="302">
      <c r="A302" s="15" t="n">
        <v>298</v>
      </c>
      <c r="B302" s="15" t="inlineStr">
        <is>
          <t>22. Configurable Field Management</t>
        </is>
      </c>
      <c r="C302" s="15" t="inlineStr">
        <is>
          <t>Data Type</t>
        </is>
      </c>
      <c r="D302" s="15" t="inlineStr">
        <is>
          <t>Text, Long Text, Number, Decimal, Currency, Date, Date-Time, Yes/No, Single Select, Multi Select</t>
        </is>
      </c>
      <c r="E302" s="15" t="inlineStr">
        <is>
          <t>Built</t>
        </is>
      </c>
      <c r="F302" s="15" t="inlineStr">
        <is>
          <t>HRMS &gt; Employee Master Setup &gt; Configurable fields</t>
        </is>
      </c>
      <c r="G302" s="15" t="inlineStr"/>
    </row>
    <row r="303">
      <c r="A303" s="15" t="n">
        <v>299</v>
      </c>
      <c r="B303" s="15" t="inlineStr">
        <is>
          <t>22. Configurable Field Management</t>
        </is>
      </c>
      <c r="C303" s="15" t="inlineStr">
        <is>
          <t>Data Type</t>
        </is>
      </c>
      <c r="D303" s="15" t="inlineStr">
        <is>
          <t>Employee Lookup, Master Lookup, File / Document reference</t>
        </is>
      </c>
      <c r="E303" s="15" t="inlineStr">
        <is>
          <t>Built</t>
        </is>
      </c>
      <c r="F303" s="15" t="inlineStr">
        <is>
          <t>HRMS &gt; Employee Master Setup &gt; Configurable fields</t>
        </is>
      </c>
      <c r="G303" s="15" t="inlineStr">
        <is>
          <t>Profile form offers an employee picker, a master-list dropdown and a document-reference input.</t>
        </is>
      </c>
    </row>
    <row r="304">
      <c r="A304" s="15" t="n">
        <v>300</v>
      </c>
      <c r="B304" s="15" t="inlineStr">
        <is>
          <t>22. Configurable Field Management</t>
        </is>
      </c>
      <c r="C304" s="15" t="inlineStr">
        <is>
          <t>Behaviour</t>
        </is>
      </c>
      <c r="D304" s="15" t="inlineStr">
        <is>
          <t>Mandatory / Optional, Read-only, Default Value, Unique</t>
        </is>
      </c>
      <c r="E304" s="15" t="inlineStr">
        <is>
          <t>Built</t>
        </is>
      </c>
      <c r="F304" s="15" t="inlineStr">
        <is>
          <t>HRMS &gt; Employee Master Setup &gt; Configurable fields</t>
        </is>
      </c>
      <c r="G304" s="15" t="inlineStr"/>
    </row>
    <row r="305">
      <c r="A305" s="15" t="n">
        <v>301</v>
      </c>
      <c r="B305" s="15" t="inlineStr">
        <is>
          <t>22. Configurable Field Management</t>
        </is>
      </c>
      <c r="C305" s="15" t="inlineStr">
        <is>
          <t>Behaviour</t>
        </is>
      </c>
      <c r="D305" s="15" t="inlineStr">
        <is>
          <t>Searchable, Filterable, Exportable</t>
        </is>
      </c>
      <c r="E305" s="15" t="inlineStr">
        <is>
          <t>Built</t>
        </is>
      </c>
      <c r="F305" s="15" t="inlineStr">
        <is>
          <t>HRMS &gt; Employee Master Setup &gt; Configurable fields</t>
        </is>
      </c>
      <c r="G305" s="15" t="inlineStr">
        <is>
          <t>DONE 24 Oct: Searchable fields are matched by directory search; Filterable fields become directory filters; Exportable honoured by export.</t>
        </is>
      </c>
    </row>
    <row r="306">
      <c r="A306" s="15" t="n">
        <v>302</v>
      </c>
      <c r="B306" s="15" t="inlineStr">
        <is>
          <t>22. Configurable Field Management</t>
        </is>
      </c>
      <c r="C306" s="15" t="inlineStr">
        <is>
          <t>Visibility</t>
        </is>
      </c>
      <c r="D306" s="15" t="inlineStr">
        <is>
          <t>Role-based; self-service; manager; HR / payroll</t>
        </is>
      </c>
      <c r="E306" s="15" t="inlineStr">
        <is>
          <t>Built</t>
        </is>
      </c>
      <c r="F306" s="15" t="inlineStr">
        <is>
          <t>HRMS &gt; Employee Master Setup &gt; Configurable fields</t>
        </is>
      </c>
      <c r="G306" s="15" t="inlineStr"/>
    </row>
    <row r="307">
      <c r="A307" s="15" t="n">
        <v>303</v>
      </c>
      <c r="B307" s="15" t="inlineStr">
        <is>
          <t>22. Configurable Field Management</t>
        </is>
      </c>
      <c r="C307" s="15" t="inlineStr">
        <is>
          <t>Validation</t>
        </is>
      </c>
      <c r="D307" s="15" t="inlineStr">
        <is>
          <t>Min / max length &amp; value, regex, date range, custom message</t>
        </is>
      </c>
      <c r="E307" s="15" t="inlineStr">
        <is>
          <t>Built</t>
        </is>
      </c>
      <c r="F307" s="15" t="inlineStr">
        <is>
          <t>HRMS &gt; Employee Master Setup &gt; Configurable fields</t>
        </is>
      </c>
      <c r="G307" s="15" t="inlineStr"/>
    </row>
    <row r="308">
      <c r="A308" s="15" t="n">
        <v>304</v>
      </c>
      <c r="B308" s="15" t="inlineStr">
        <is>
          <t>22. Configurable Field Management</t>
        </is>
      </c>
      <c r="C308" s="15" t="inlineStr">
        <is>
          <t>Validation</t>
        </is>
      </c>
      <c r="D308" s="15" t="inlineStr">
        <is>
          <t>Dependent validation</t>
        </is>
      </c>
      <c r="E308" s="15" t="inlineStr">
        <is>
          <t>Built</t>
        </is>
      </c>
      <c r="F308" s="15" t="inlineStr">
        <is>
          <t>HRMS &gt; Employee Master Setup &gt; Configurable fields</t>
        </is>
      </c>
      <c r="G308" s="15" t="inlineStr">
        <is>
          <t>NEW 24 Oct: 'Required when' / 'Allowed only when' another custom or profile field holds given values.</t>
        </is>
      </c>
    </row>
    <row r="309">
      <c r="A309" s="15" t="n">
        <v>305</v>
      </c>
      <c r="B309" s="15" t="inlineStr">
        <is>
          <t>22. Configurable Field Management</t>
        </is>
      </c>
      <c r="C309" s="15" t="inlineStr">
        <is>
          <t>Dropdown / Lookup</t>
        </is>
      </c>
      <c r="D309" s="15" t="inlineStr">
        <is>
          <t>Option values, sequence, active / inactive, source master</t>
        </is>
      </c>
      <c r="E309" s="15" t="inlineStr">
        <is>
          <t>Built</t>
        </is>
      </c>
      <c r="F309" s="15" t="inlineStr">
        <is>
          <t>HRMS &gt; Employee Master Setup &gt; Configurable fields</t>
        </is>
      </c>
      <c r="G309" s="15" t="inlineStr"/>
    </row>
    <row r="310">
      <c r="A310" s="15" t="n">
        <v>306</v>
      </c>
      <c r="B310" s="15" t="inlineStr">
        <is>
          <t>22. Configurable Field Management</t>
        </is>
      </c>
      <c r="C310" s="15" t="inlineStr">
        <is>
          <t>Applicability</t>
        </is>
      </c>
      <c r="D310" s="15" t="inlineStr">
        <is>
          <t>Company, location, department, grade/level, category, payroll group, effective date</t>
        </is>
      </c>
      <c r="E310" s="15" t="inlineStr">
        <is>
          <t>Built</t>
        </is>
      </c>
      <c r="F310" s="15" t="inlineStr">
        <is>
          <t>HRMS &gt; Employee Master Setup &gt; Configurable fields</t>
        </is>
      </c>
      <c r="G310" s="15" t="inlineStr">
        <is>
          <t>DONE 24 Oct: applicability editor (location, grade, level, category, payroll group, department) in the field editor.</t>
        </is>
      </c>
    </row>
    <row r="311">
      <c r="A311" s="15" t="n">
        <v>307</v>
      </c>
      <c r="B311" s="15" t="inlineStr">
        <is>
          <t>22. Configurable Field Management</t>
        </is>
      </c>
      <c r="C311" s="15" t="inlineStr">
        <is>
          <t>Display</t>
        </is>
      </c>
      <c r="D311" s="15" t="inlineStr">
        <is>
          <t>Section / tab, display order</t>
        </is>
      </c>
      <c r="E311" s="15" t="inlineStr">
        <is>
          <t>Built</t>
        </is>
      </c>
      <c r="F311" s="15" t="inlineStr">
        <is>
          <t>HRMS &gt; Employee Master Setup &gt; Configurable fields</t>
        </is>
      </c>
      <c r="G311" s="15" t="inlineStr"/>
    </row>
    <row r="312">
      <c r="A312" s="15" t="n">
        <v>308</v>
      </c>
      <c r="B312" s="15" t="inlineStr">
        <is>
          <t>22. Configurable Field Management</t>
        </is>
      </c>
      <c r="C312" s="15" t="inlineStr">
        <is>
          <t>Display</t>
        </is>
      </c>
      <c r="D312" s="15" t="inlineStr">
        <is>
          <t>Grid / list visibility</t>
        </is>
      </c>
      <c r="E312" s="15" t="inlineStr">
        <is>
          <t>Built</t>
        </is>
      </c>
      <c r="F312" s="15" t="inlineStr">
        <is>
          <t>HRMS &gt; Employee Master Setup &gt; Configurable fields</t>
        </is>
      </c>
      <c r="G312" s="15" t="inlineStr">
        <is>
          <t>DONE 24 Oct: 'Show in list' fields appear as directory columns (sensitive ones never).</t>
        </is>
      </c>
    </row>
    <row r="313">
      <c r="A313" s="15" t="n">
        <v>309</v>
      </c>
      <c r="B313" s="15" t="inlineStr">
        <is>
          <t>22. Configurable Field Management</t>
        </is>
      </c>
      <c r="C313" s="15" t="inlineStr">
        <is>
          <t>Lifecycle</t>
        </is>
      </c>
      <c r="D313" s="15" t="inlineStr">
        <is>
          <t>Draft, Active, Retired; Effective From / To</t>
        </is>
      </c>
      <c r="E313" s="15" t="inlineStr">
        <is>
          <t>Built</t>
        </is>
      </c>
      <c r="F313" s="15" t="inlineStr">
        <is>
          <t>HRMS &gt; Employee Master Setup &gt; Configurable fields</t>
        </is>
      </c>
      <c r="G313" s="15" t="inlineStr"/>
    </row>
    <row r="314">
      <c r="A314" s="15" t="n">
        <v>310</v>
      </c>
      <c r="B314" s="15" t="inlineStr">
        <is>
          <t>22. Configurable Field Management</t>
        </is>
      </c>
      <c r="C314" s="15" t="inlineStr">
        <is>
          <t>Lifecycle</t>
        </is>
      </c>
      <c r="D314" s="15" t="inlineStr">
        <is>
          <t>Approved (separate state)</t>
        </is>
      </c>
      <c r="E314" s="15" t="inlineStr">
        <is>
          <t>Built</t>
        </is>
      </c>
      <c r="F314" s="15" t="inlineStr">
        <is>
          <t>HRMS &gt; Employee Master Setup &gt; Configurable fields</t>
        </is>
      </c>
      <c r="G314" s="15" t="inlineStr">
        <is>
          <t>NEW 24 Oct: Draft -&gt; Approved (by someone other than the author) -&gt; Active; under the section 27 flow the request's approval sets Approved.</t>
        </is>
      </c>
    </row>
    <row r="315">
      <c r="A315" s="15" t="n">
        <v>311</v>
      </c>
      <c r="B315" s="15" t="inlineStr">
        <is>
          <t>22. Configurable Field Management</t>
        </is>
      </c>
      <c r="C315" s="15" t="inlineStr">
        <is>
          <t>Audit</t>
        </is>
      </c>
      <c r="D315" s="15" t="inlineStr">
        <is>
          <t>Created by/on, approved by/on, change reason, old / new definition</t>
        </is>
      </c>
      <c r="E315" s="15" t="inlineStr">
        <is>
          <t>Built</t>
        </is>
      </c>
      <c r="F315" s="15" t="inlineStr">
        <is>
          <t>HRMS &gt; Employee Master Setup &gt; Configurable fields</t>
        </is>
      </c>
      <c r="G315" s="15" t="inlineStr"/>
    </row>
    <row r="316">
      <c r="A316" s="15" t="n">
        <v>312</v>
      </c>
      <c r="B316" s="15" t="inlineStr">
        <is>
          <t>22. Configurable Field Management</t>
        </is>
      </c>
      <c r="C316" s="15" t="inlineStr">
        <is>
          <t>Control</t>
        </is>
      </c>
      <c r="D316" s="15" t="inlineStr">
        <is>
          <t>Label / order change does not alter stored values</t>
        </is>
      </c>
      <c r="E316" s="15" t="inlineStr">
        <is>
          <t>Built</t>
        </is>
      </c>
      <c r="F316" s="15" t="inlineStr">
        <is>
          <t>HRMS &gt; Employee Master Setup &gt; Configurable fields</t>
        </is>
      </c>
      <c r="G316" s="15" t="inlineStr"/>
    </row>
    <row r="317">
      <c r="A317" s="15" t="n">
        <v>313</v>
      </c>
      <c r="B317" s="15" t="inlineStr">
        <is>
          <t>22. Configurable Field Management</t>
        </is>
      </c>
      <c r="C317" s="15" t="inlineStr">
        <is>
          <t>Control</t>
        </is>
      </c>
      <c r="D317" s="15" t="inlineStr">
        <is>
          <t>Data type change blocked once values exist</t>
        </is>
      </c>
      <c r="E317" s="15" t="inlineStr">
        <is>
          <t>Built</t>
        </is>
      </c>
      <c r="F317" s="15" t="inlineStr">
        <is>
          <t>HRMS &gt; Employee Master Setup &gt; Configurable fields</t>
        </is>
      </c>
      <c r="G317" s="15" t="inlineStr"/>
    </row>
    <row r="318">
      <c r="A318" s="15" t="n">
        <v>314</v>
      </c>
      <c r="B318" s="15" t="inlineStr">
        <is>
          <t>22. Configurable Field Management</t>
        </is>
      </c>
      <c r="C318" s="15" t="inlineStr">
        <is>
          <t>Control</t>
        </is>
      </c>
      <c r="D318" s="15" t="inlineStr">
        <is>
          <t>Field used in a calculation cannot be retired</t>
        </is>
      </c>
      <c r="E318" s="15" t="inlineStr">
        <is>
          <t>Built</t>
        </is>
      </c>
      <c r="F318" s="15" t="inlineStr">
        <is>
          <t>HRMS &gt; Employee Master Setup &gt; Configurable fields</t>
        </is>
      </c>
      <c r="G318" s="15" t="inlineStr">
        <is>
          <t>NEW 24 Oct: retiring a field is refused while a bank file column or policy scope reads it. Formulas cannot read custom fields, so no calculation depends on one.</t>
        </is>
      </c>
    </row>
    <row r="319">
      <c r="A319" s="15" t="n">
        <v>315</v>
      </c>
      <c r="B319" s="15" t="inlineStr">
        <is>
          <t>22. Configurable Field Management</t>
        </is>
      </c>
      <c r="C319" s="15" t="inlineStr">
        <is>
          <t>Control</t>
        </is>
      </c>
      <c r="D319" s="15" t="inlineStr">
        <is>
          <t>Mandatory applies from an effective date</t>
        </is>
      </c>
      <c r="E319" s="15" t="inlineStr">
        <is>
          <t>Built</t>
        </is>
      </c>
      <c r="F319" s="15" t="inlineStr">
        <is>
          <t>HRMS &gt; Employee Master Setup &gt; Configurable fields</t>
        </is>
      </c>
      <c r="G319" s="15" t="inlineStr"/>
    </row>
    <row r="320">
      <c r="A320" s="15" t="n">
        <v>316</v>
      </c>
      <c r="B320" s="15" t="inlineStr">
        <is>
          <t>22. Configurable Field Management</t>
        </is>
      </c>
      <c r="C320" s="15" t="inlineStr">
        <is>
          <t>Control</t>
        </is>
      </c>
      <c r="D320" s="15" t="inlineStr">
        <is>
          <t>Field-level permissions for sensitive fields</t>
        </is>
      </c>
      <c r="E320" s="15" t="inlineStr">
        <is>
          <t>Built</t>
        </is>
      </c>
      <c r="F320" s="15" t="inlineStr">
        <is>
          <t>HRMS &gt; Employee Master Setup &gt; Configurable fields</t>
        </is>
      </c>
      <c r="G320" s="15" t="inlineStr"/>
    </row>
    <row r="321">
      <c r="A321" s="15" t="n">
        <v>317</v>
      </c>
      <c r="B321" s="15" t="inlineStr">
        <is>
          <t>23. Attendance Policy &amp; Rule Configuration</t>
        </is>
      </c>
      <c r="C321" s="15" t="inlineStr">
        <is>
          <t>Engine</t>
        </is>
      </c>
      <c r="D321" s="15" t="inlineStr">
        <is>
          <t>Versioned rules; future effective date; prior periods unchanged</t>
        </is>
      </c>
      <c r="E321" s="15" t="inlineStr">
        <is>
          <t>Built</t>
        </is>
      </c>
      <c r="F321" s="15" t="inlineStr">
        <is>
          <t>HRMS &gt; Attendance &gt; Shifts / Settings</t>
        </is>
      </c>
      <c r="G321" s="15" t="inlineStr">
        <is>
          <t>Shift versions; locked months never rewritten</t>
        </is>
      </c>
    </row>
    <row r="322">
      <c r="A322" s="15" t="n">
        <v>318</v>
      </c>
      <c r="B322" s="15" t="inlineStr">
        <is>
          <t>23. Attendance Policy &amp; Rule Configuration</t>
        </is>
      </c>
      <c r="C322" s="15" t="inlineStr">
        <is>
          <t>Engine</t>
        </is>
      </c>
      <c r="D322" s="15" t="inlineStr">
        <is>
          <t>Test a policy version before activation</t>
        </is>
      </c>
      <c r="E322" s="15" t="inlineStr">
        <is>
          <t>Built</t>
        </is>
      </c>
      <c r="F322" s="15" t="inlineStr">
        <is>
          <t>HRMS &gt; Attendance &gt; Shifts / Settings</t>
        </is>
      </c>
      <c r="G322" s="15" t="inlineStr">
        <is>
          <t>A draft daily-rules version is simulated against recorded punches, old vs proposed, writing nothing.</t>
        </is>
      </c>
    </row>
    <row r="323">
      <c r="A323" s="15" t="n">
        <v>319</v>
      </c>
      <c r="B323" s="15" t="inlineStr">
        <is>
          <t>23. Attendance Policy &amp; Rule Configuration</t>
        </is>
      </c>
      <c r="C323" s="15" t="inlineStr">
        <is>
          <t>Shift / Timing</t>
        </is>
      </c>
      <c r="D323" s="15" t="inlineStr">
        <is>
          <t>Start, end, break, minimum hours, flexible timing, applicability</t>
        </is>
      </c>
      <c r="E323" s="15" t="inlineStr">
        <is>
          <t>Built</t>
        </is>
      </c>
      <c r="F323" s="15" t="inlineStr">
        <is>
          <t>HRMS &gt; Attendance &gt; Shifts / Settings</t>
        </is>
      </c>
      <c r="G323" s="15" t="inlineStr"/>
    </row>
    <row r="324">
      <c r="A324" s="15" t="n">
        <v>320</v>
      </c>
      <c r="B324" s="15" t="inlineStr">
        <is>
          <t>23. Attendance Policy &amp; Rule Configuration</t>
        </is>
      </c>
      <c r="C324" s="15" t="inlineStr">
        <is>
          <t>Late Coming</t>
        </is>
      </c>
      <c r="D324" s="15" t="inlineStr">
        <is>
          <t>Grace, threshold, late-minute calculation, monthly buffer</t>
        </is>
      </c>
      <c r="E324" s="15" t="inlineStr">
        <is>
          <t>Built</t>
        </is>
      </c>
      <c r="F324" s="15" t="inlineStr">
        <is>
          <t>HRMS &gt; Attendance &gt; Shifts / Settings</t>
        </is>
      </c>
      <c r="G324" s="15" t="inlineStr"/>
    </row>
    <row r="325">
      <c r="A325" s="15" t="n">
        <v>321</v>
      </c>
      <c r="B325" s="15" t="inlineStr">
        <is>
          <t>23. Attendance Policy &amp; Rule Configuration</t>
        </is>
      </c>
      <c r="C325" s="15" t="inlineStr">
        <is>
          <t>Late Coming</t>
        </is>
      </c>
      <c r="D325" s="15" t="inlineStr">
        <is>
          <t>Escalation threshold</t>
        </is>
      </c>
      <c r="E325" s="15" t="inlineStr">
        <is>
          <t>Built</t>
        </is>
      </c>
      <c r="F325" s="15" t="inlineStr">
        <is>
          <t>HRMS &gt; Attendance &gt; Shifts / Settings</t>
        </is>
      </c>
      <c r="G325" s="15" t="inlineStr">
        <is>
          <t>NEW 24 Oct: ATT_DAY rule 'Escalate at late days / month'; the late-coming card flags people who reach it.</t>
        </is>
      </c>
    </row>
    <row r="326">
      <c r="A326" s="15" t="n">
        <v>322</v>
      </c>
      <c r="B326" s="15" t="inlineStr">
        <is>
          <t>23. Attendance Policy &amp; Rule Configuration</t>
        </is>
      </c>
      <c r="C326" s="15" t="inlineStr">
        <is>
          <t>Early Going</t>
        </is>
      </c>
      <c r="D326" s="15" t="inlineStr">
        <is>
          <t>Threshold, grace and treatment</t>
        </is>
      </c>
      <c r="E326" s="15" t="inlineStr">
        <is>
          <t>Built</t>
        </is>
      </c>
      <c r="F326" s="15" t="inlineStr">
        <is>
          <t>HRMS &gt; Attendance &gt; Shifts / Settings</t>
        </is>
      </c>
      <c r="G326" s="15" t="inlineStr"/>
    </row>
    <row r="327">
      <c r="A327" s="15" t="n">
        <v>323</v>
      </c>
      <c r="B327" s="15" t="inlineStr">
        <is>
          <t>23. Attendance Policy &amp; Rule Configuration</t>
        </is>
      </c>
      <c r="C327" s="15" t="inlineStr">
        <is>
          <t>Half Day</t>
        </is>
      </c>
      <c r="D327" s="15" t="inlineStr">
        <is>
          <t>Working-hour threshold</t>
        </is>
      </c>
      <c r="E327" s="15" t="inlineStr">
        <is>
          <t>Built</t>
        </is>
      </c>
      <c r="F327" s="15" t="inlineStr">
        <is>
          <t>HRMS &gt; Attendance &gt; Shifts / Settings</t>
        </is>
      </c>
      <c r="G327" s="15" t="inlineStr"/>
    </row>
    <row r="328">
      <c r="A328" s="15" t="n">
        <v>324</v>
      </c>
      <c r="B328" s="15" t="inlineStr">
        <is>
          <t>23. Attendance Policy &amp; Rule Configuration</t>
        </is>
      </c>
      <c r="C328" s="15" t="inlineStr">
        <is>
          <t>Half Day</t>
        </is>
      </c>
      <c r="D328" s="15" t="inlineStr">
        <is>
          <t>Late / early combinations; approved exception treatment</t>
        </is>
      </c>
      <c r="E328" s="15" t="inlineStr">
        <is>
          <t>Built</t>
        </is>
      </c>
      <c r="F328" s="15" t="inlineStr">
        <is>
          <t>HRMS &gt; Attendance &gt; Shifts / Settings</t>
        </is>
      </c>
      <c r="G328" s="15" t="inlineStr">
        <is>
          <t>DONE 24 Oct: half-day combinations plus 'approved exception treatment': named approved request types waive a late / early half day.</t>
        </is>
      </c>
    </row>
    <row r="329">
      <c r="A329" s="15" t="n">
        <v>325</v>
      </c>
      <c r="B329" s="15" t="inlineStr">
        <is>
          <t>23. Attendance Policy &amp; Rule Configuration</t>
        </is>
      </c>
      <c r="C329" s="15" t="inlineStr">
        <is>
          <t>Absent</t>
        </is>
      </c>
      <c r="D329" s="15" t="inlineStr">
        <is>
          <t>No-punch / minimum-hours conditions</t>
        </is>
      </c>
      <c r="E329" s="15" t="inlineStr">
        <is>
          <t>Built</t>
        </is>
      </c>
      <c r="F329" s="15" t="inlineStr">
        <is>
          <t>HRMS &gt; Attendance &gt; Shifts / Settings</t>
        </is>
      </c>
      <c r="G329" s="15" t="inlineStr"/>
    </row>
    <row r="330">
      <c r="A330" s="15" t="n">
        <v>326</v>
      </c>
      <c r="B330" s="15" t="inlineStr">
        <is>
          <t>23. Attendance Policy &amp; Rule Configuration</t>
        </is>
      </c>
      <c r="C330" s="15" t="inlineStr">
        <is>
          <t>Weekly Off / Holiday</t>
        </is>
      </c>
      <c r="D330" s="15" t="inlineStr">
        <is>
          <t>Patterns, location calendar, holiday treatment</t>
        </is>
      </c>
      <c r="E330" s="15" t="inlineStr">
        <is>
          <t>Built</t>
        </is>
      </c>
      <c r="F330" s="15" t="inlineStr">
        <is>
          <t>HRMS &gt; Attendance &gt; Shifts / Settings</t>
        </is>
      </c>
      <c r="G330" s="15" t="inlineStr"/>
    </row>
    <row r="331">
      <c r="A331" s="15" t="n">
        <v>327</v>
      </c>
      <c r="B331" s="15" t="inlineStr">
        <is>
          <t>23. Attendance Policy &amp; Rule Configuration</t>
        </is>
      </c>
      <c r="C331" s="15" t="inlineStr">
        <is>
          <t>OD / Regularisation</t>
        </is>
      </c>
      <c r="D331" s="15" t="inlineStr">
        <is>
          <t>Request types, window, evidence requirement</t>
        </is>
      </c>
      <c r="E331" s="15" t="inlineStr">
        <is>
          <t>Built</t>
        </is>
      </c>
      <c r="F331" s="15" t="inlineStr">
        <is>
          <t>HRMS &gt; Attendance &gt; Shifts / Settings</t>
        </is>
      </c>
      <c r="G331" s="15" t="inlineStr"/>
    </row>
    <row r="332">
      <c r="A332" s="15" t="n">
        <v>328</v>
      </c>
      <c r="B332" s="15" t="inlineStr">
        <is>
          <t>23. Attendance Policy &amp; Rule Configuration</t>
        </is>
      </c>
      <c r="C332" s="15" t="inlineStr">
        <is>
          <t>OD / Regularisation</t>
        </is>
      </c>
      <c r="D332" s="15" t="inlineStr">
        <is>
          <t>Manager / HR approval levels (configurable)</t>
        </is>
      </c>
      <c r="E332" s="15" t="inlineStr">
        <is>
          <t>Built</t>
        </is>
      </c>
      <c r="F332" s="15" t="inlineStr">
        <is>
          <t>HRMS &gt; Attendance &gt; Shifts / Settings</t>
        </is>
      </c>
      <c r="G332" s="15" t="inlineStr">
        <is>
          <t>Approval levels (1 = manager, 2 = manager then HR) resolved per request and enforced.</t>
        </is>
      </c>
    </row>
    <row r="333">
      <c r="A333" s="15" t="n">
        <v>329</v>
      </c>
      <c r="B333" s="15" t="inlineStr">
        <is>
          <t>23. Attendance Policy &amp; Rule Configuration</t>
        </is>
      </c>
      <c r="C333" s="15" t="inlineStr">
        <is>
          <t>LOP</t>
        </is>
      </c>
      <c r="D333" s="15" t="inlineStr">
        <is>
          <t>Source status, fraction / full-day, leave interaction</t>
        </is>
      </c>
      <c r="E333" s="15" t="inlineStr">
        <is>
          <t>Built</t>
        </is>
      </c>
      <c r="F333" s="15" t="inlineStr">
        <is>
          <t>HRMS &gt; Attendance &gt; Shifts / Settings</t>
        </is>
      </c>
      <c r="G333" s="15" t="inlineStr">
        <is>
          <t>Plus optional 'sandwich' rule</t>
        </is>
      </c>
    </row>
    <row r="334">
      <c r="A334" s="15" t="n">
        <v>330</v>
      </c>
      <c r="B334" s="15" t="inlineStr">
        <is>
          <t>23. Attendance Policy &amp; Rule Configuration</t>
        </is>
      </c>
      <c r="C334" s="15" t="inlineStr">
        <is>
          <t>Monthly Closure</t>
        </is>
      </c>
      <c r="D334" s="15" t="inlineStr">
        <is>
          <t>Cut-off date, pending-request handling, lock / unlock authority</t>
        </is>
      </c>
      <c r="E334" s="15" t="inlineStr">
        <is>
          <t>Built</t>
        </is>
      </c>
      <c r="F334" s="15" t="inlineStr">
        <is>
          <t>HRMS &gt; Attendance &gt; Shifts / Settings</t>
        </is>
      </c>
      <c r="G334" s="15" t="inlineStr">
        <is>
          <t>DONE 24 Oct: 'Block locking with open requests' is enforced at lock; cut-off and lock / unlock authority as before.</t>
        </is>
      </c>
    </row>
    <row r="335">
      <c r="A335" s="15" t="n">
        <v>331</v>
      </c>
      <c r="B335" s="15" t="inlineStr">
        <is>
          <t>23. Attendance Policy &amp; Rule Configuration</t>
        </is>
      </c>
      <c r="C335" s="15" t="inlineStr">
        <is>
          <t>Applicability</t>
        </is>
      </c>
      <c r="D335" s="15" t="inlineStr">
        <is>
          <t>Company, location, department, category, grade, shift group, effective dates</t>
        </is>
      </c>
      <c r="E335" s="15" t="inlineStr">
        <is>
          <t>Built</t>
        </is>
      </c>
      <c r="F335" s="15" t="inlineStr">
        <is>
          <t>HRMS &gt; Attendance &gt; Shifts / Settings</t>
        </is>
      </c>
      <c r="G335" s="15" t="inlineStr"/>
    </row>
    <row r="336">
      <c r="A336" s="15" t="n">
        <v>332</v>
      </c>
      <c r="B336" s="15" t="inlineStr">
        <is>
          <t>23. Attendance Policy &amp; Rule Configuration</t>
        </is>
      </c>
      <c r="C336" s="15" t="inlineStr">
        <is>
          <t>Applicability</t>
        </is>
      </c>
      <c r="D336" s="15" t="inlineStr">
        <is>
          <t>Level</t>
        </is>
      </c>
      <c r="E336" s="15" t="inlineStr">
        <is>
          <t>Built</t>
        </is>
      </c>
      <c r="F336" s="15" t="inlineStr">
        <is>
          <t>HRMS &gt; Attendance &gt; Shifts / Settings</t>
        </is>
      </c>
      <c r="G336" s="15" t="inlineStr">
        <is>
          <t>DONE 24 Oct: Level is offered in the Policy Designer scope.</t>
        </is>
      </c>
    </row>
    <row r="337">
      <c r="A337" s="15" t="n">
        <v>333</v>
      </c>
      <c r="B337" s="15" t="inlineStr">
        <is>
          <t>24. Salary Component Configuration</t>
        </is>
      </c>
      <c r="C337" s="15" t="inlineStr">
        <is>
          <t>Component Type</t>
        </is>
      </c>
      <c r="D337" s="15" t="inlineStr">
        <is>
          <t>Earning, Deduction, Employer Contribution, Reimbursement, Recovery, Informational</t>
        </is>
      </c>
      <c r="E337" s="15" t="inlineStr">
        <is>
          <t>Built</t>
        </is>
      </c>
      <c r="F337" s="15" t="inlineStr">
        <is>
          <t>HRMS &gt; Payroll &gt; Salary Structure &gt; Component editor</t>
        </is>
      </c>
      <c r="G337" s="15" t="inlineStr"/>
    </row>
    <row r="338">
      <c r="A338" s="15" t="n">
        <v>334</v>
      </c>
      <c r="B338" s="15" t="inlineStr">
        <is>
          <t>24. Salary Component Configuration</t>
        </is>
      </c>
      <c r="C338" s="15" t="inlineStr">
        <is>
          <t>Calculation Method</t>
        </is>
      </c>
      <c r="D338" s="15" t="inlineStr">
        <is>
          <t>Fixed, Percentage, Formula, Manual Input, Slab / Table</t>
        </is>
      </c>
      <c r="E338" s="15" t="inlineStr">
        <is>
          <t>Built</t>
        </is>
      </c>
      <c r="F338" s="15" t="inlineStr">
        <is>
          <t>HRMS &gt; Payroll &gt; Salary Structure &gt; Component editor</t>
        </is>
      </c>
      <c r="G338" s="15" t="inlineStr"/>
    </row>
    <row r="339">
      <c r="A339" s="15" t="n">
        <v>335</v>
      </c>
      <c r="B339" s="15" t="inlineStr">
        <is>
          <t>24. Salary Component Configuration</t>
        </is>
      </c>
      <c r="C339" s="15" t="inlineStr">
        <is>
          <t>Calculation Method</t>
        </is>
      </c>
      <c r="D339" s="15" t="inlineStr">
        <is>
          <t>Imported Input</t>
        </is>
      </c>
      <c r="E339" s="15" t="inlineStr">
        <is>
          <t>Built</t>
        </is>
      </c>
      <c r="F339" s="15" t="inlineStr">
        <is>
          <t>HRMS &gt; Payroll &gt; Salary Structure &gt; Component editor</t>
        </is>
      </c>
      <c r="G339" s="15" t="inlineStr">
        <is>
          <t>DONE 24 Oct: Imported Input values uploaded per payroll run (employee, component, amount); recalculation required before submit.</t>
        </is>
      </c>
    </row>
    <row r="340">
      <c r="A340" s="15" t="n">
        <v>336</v>
      </c>
      <c r="B340" s="15" t="inlineStr">
        <is>
          <t>24. Salary Component Configuration</t>
        </is>
      </c>
      <c r="C340" s="15" t="inlineStr">
        <is>
          <t>Calculation Method</t>
        </is>
      </c>
      <c r="D340" s="15" t="inlineStr">
        <is>
          <t>Attendance-linked</t>
        </is>
      </c>
      <c r="E340" s="15" t="inlineStr">
        <is>
          <t>Built</t>
        </is>
      </c>
      <c r="F340" s="15" t="inlineStr">
        <is>
          <t>HRMS &gt; Payroll &gt; Salary Structure &gt; Component editor</t>
        </is>
      </c>
      <c r="G340" s="15" t="inlineStr">
        <is>
          <t>Rate x attendance quantity from the frozen attendance basis.</t>
        </is>
      </c>
    </row>
    <row r="341">
      <c r="A341" s="15" t="n">
        <v>337</v>
      </c>
      <c r="B341" s="15" t="inlineStr">
        <is>
          <t>24. Salary Component Configuration</t>
        </is>
      </c>
      <c r="C341" s="15" t="inlineStr">
        <is>
          <t>Calculation Base</t>
        </is>
      </c>
      <c r="D341" s="15" t="inlineStr">
        <is>
          <t>Basic, Gross, CTC, another component</t>
        </is>
      </c>
      <c r="E341" s="15" t="inlineStr">
        <is>
          <t>Built</t>
        </is>
      </c>
      <c r="F341" s="15" t="inlineStr">
        <is>
          <t>HRMS &gt; Payroll &gt; Salary Structure &gt; Component editor</t>
        </is>
      </c>
      <c r="G341" s="15" t="inlineStr"/>
    </row>
    <row r="342">
      <c r="A342" s="15" t="n">
        <v>338</v>
      </c>
      <c r="B342" s="15" t="inlineStr">
        <is>
          <t>24. Salary Component Configuration</t>
        </is>
      </c>
      <c r="C342" s="15" t="inlineStr">
        <is>
          <t>Calculation Base</t>
        </is>
      </c>
      <c r="D342" s="15" t="inlineStr">
        <is>
          <t>Payable days / statutory base / configurable expression</t>
        </is>
      </c>
      <c r="E342" s="15" t="inlineStr">
        <is>
          <t>Built</t>
        </is>
      </c>
      <c r="F342" s="15" t="inlineStr">
        <is>
          <t>HRMS &gt; Payroll &gt; Salary Structure &gt; Component editor</t>
        </is>
      </c>
      <c r="G342" s="15" t="inlineStr">
        <is>
          <t>Component / Gross / CTC bases; formulas read payable days, LOP and components.</t>
        </is>
      </c>
    </row>
    <row r="343">
      <c r="A343" s="15" t="n">
        <v>339</v>
      </c>
      <c r="B343" s="15" t="inlineStr">
        <is>
          <t>24. Salary Component Configuration</t>
        </is>
      </c>
      <c r="C343" s="15" t="inlineStr">
        <is>
          <t>Frequency</t>
        </is>
      </c>
      <c r="D343" s="15" t="inlineStr">
        <is>
          <t>Monthly, one-time, quarterly, annual, ad hoc</t>
        </is>
      </c>
      <c r="E343" s="15" t="inlineStr">
        <is>
          <t>Built</t>
        </is>
      </c>
      <c r="F343" s="15" t="inlineStr">
        <is>
          <t>HRMS &gt; Payroll &gt; Salary Structure &gt; Component editor</t>
        </is>
      </c>
      <c r="G343" s="15" t="inlineStr">
        <is>
          <t>Quarterly / annual enforced from the start date; one-time / ad hoc paid as run adjustments.</t>
        </is>
      </c>
    </row>
    <row r="344">
      <c r="A344" s="15" t="n">
        <v>340</v>
      </c>
      <c r="B344" s="15" t="inlineStr">
        <is>
          <t>24. Salary Component Configuration</t>
        </is>
      </c>
      <c r="C344" s="15" t="inlineStr">
        <is>
          <t>Proration</t>
        </is>
      </c>
      <c r="D344" s="15" t="inlineStr">
        <is>
          <t>Full month, payable-days based</t>
        </is>
      </c>
      <c r="E344" s="15" t="inlineStr">
        <is>
          <t>Built</t>
        </is>
      </c>
      <c r="F344" s="15" t="inlineStr">
        <is>
          <t>HRMS &gt; Payroll &gt; Salary Structure &gt; Component editor</t>
        </is>
      </c>
      <c r="G344" s="15" t="inlineStr"/>
    </row>
    <row r="345">
      <c r="A345" s="15" t="n">
        <v>341</v>
      </c>
      <c r="B345" s="15" t="inlineStr">
        <is>
          <t>24. Salary Component Configuration</t>
        </is>
      </c>
      <c r="C345" s="15" t="inlineStr">
        <is>
          <t>Proration</t>
        </is>
      </c>
      <c r="D345" s="15" t="inlineStr">
        <is>
          <t>Working-days based</t>
        </is>
      </c>
      <c r="E345" s="15" t="inlineStr">
        <is>
          <t>Built</t>
        </is>
      </c>
      <c r="F345" s="15" t="inlineStr">
        <is>
          <t>HRMS &gt; Payroll &gt; Salary Structure &gt; Component editor</t>
        </is>
      </c>
      <c r="G345" s="15" t="inlineStr">
        <is>
          <t>Working-days proration: payable working days / working days.</t>
        </is>
      </c>
    </row>
    <row r="346">
      <c r="A346" s="15" t="n">
        <v>342</v>
      </c>
      <c r="B346" s="15" t="inlineStr">
        <is>
          <t>24. Salary Component Configuration</t>
        </is>
      </c>
      <c r="C346" s="15" t="inlineStr">
        <is>
          <t>Applicability</t>
        </is>
      </c>
      <c r="D346" s="15" t="inlineStr">
        <is>
          <t>Employee / category / grade / location / payroll group and effective dates</t>
        </is>
      </c>
      <c r="E346" s="15" t="inlineStr">
        <is>
          <t>Built</t>
        </is>
      </c>
      <c r="F346" s="15" t="inlineStr">
        <is>
          <t>HRMS &gt; Payroll &gt; Salary Structure &gt; Component editor</t>
        </is>
      </c>
      <c r="G346" s="15" t="inlineStr">
        <is>
          <t>Applicability by location, grade, category, payroll group and effective dates, checked per employee per run.</t>
        </is>
      </c>
    </row>
    <row r="347">
      <c r="A347" s="15" t="n">
        <v>343</v>
      </c>
      <c r="B347" s="15" t="inlineStr">
        <is>
          <t>24. Salary Component Configuration</t>
        </is>
      </c>
      <c r="C347" s="15" t="inlineStr">
        <is>
          <t>Rounding</t>
        </is>
      </c>
      <c r="D347" s="15" t="inlineStr">
        <is>
          <t>None, nearest, floor, ceiling</t>
        </is>
      </c>
      <c r="E347" s="15" t="inlineStr">
        <is>
          <t>Built</t>
        </is>
      </c>
      <c r="F347" s="15" t="inlineStr">
        <is>
          <t>HRMS &gt; Payroll &gt; Salary Structure &gt; Component editor</t>
        </is>
      </c>
      <c r="G347" s="15" t="inlineStr"/>
    </row>
    <row r="348">
      <c r="A348" s="15" t="n">
        <v>344</v>
      </c>
      <c r="B348" s="15" t="inlineStr">
        <is>
          <t>24. Salary Component Configuration</t>
        </is>
      </c>
      <c r="C348" s="15" t="inlineStr">
        <is>
          <t>Minimum / Maximum</t>
        </is>
      </c>
      <c r="D348" s="15" t="inlineStr">
        <is>
          <t>Optional cap / floor</t>
        </is>
      </c>
      <c r="E348" s="15" t="inlineStr">
        <is>
          <t>Built</t>
        </is>
      </c>
      <c r="F348" s="15" t="inlineStr">
        <is>
          <t>HRMS &gt; Payroll &gt; Salary Structure &gt; Component editor</t>
        </is>
      </c>
      <c r="G348" s="15" t="inlineStr"/>
    </row>
    <row r="349">
      <c r="A349" s="15" t="n">
        <v>345</v>
      </c>
      <c r="B349" s="15" t="inlineStr">
        <is>
          <t>24. Salary Component Configuration</t>
        </is>
      </c>
      <c r="C349" s="15" t="inlineStr">
        <is>
          <t>Sequence</t>
        </is>
      </c>
      <c r="D349" s="15" t="inlineStr">
        <is>
          <t>Calculation priority / order</t>
        </is>
      </c>
      <c r="E349" s="15" t="inlineStr">
        <is>
          <t>Built</t>
        </is>
      </c>
      <c r="F349" s="15" t="inlineStr">
        <is>
          <t>HRMS &gt; Payroll &gt; Salary Structure &gt; Component editor</t>
        </is>
      </c>
      <c r="G349" s="15" t="inlineStr"/>
    </row>
    <row r="350">
      <c r="A350" s="15" t="n">
        <v>346</v>
      </c>
      <c r="B350" s="15" t="inlineStr">
        <is>
          <t>24. Salary Component Configuration</t>
        </is>
      </c>
      <c r="C350" s="15" t="inlineStr">
        <is>
          <t>Payslip Mapping</t>
        </is>
      </c>
      <c r="D350" s="15" t="inlineStr">
        <is>
          <t>Regular, Other, Deductions, Employer Contribution, Hidden</t>
        </is>
      </c>
      <c r="E350" s="15" t="inlineStr">
        <is>
          <t>Built</t>
        </is>
      </c>
      <c r="F350" s="15" t="inlineStr">
        <is>
          <t>HRMS &gt; Payroll &gt; Salary Structure &gt; Component editor</t>
        </is>
      </c>
      <c r="G350" s="15" t="inlineStr"/>
    </row>
    <row r="351">
      <c r="A351" s="15" t="n">
        <v>347</v>
      </c>
      <c r="B351" s="15" t="inlineStr">
        <is>
          <t>24. Salary Component Configuration</t>
        </is>
      </c>
      <c r="C351" s="15" t="inlineStr">
        <is>
          <t>Accounting / Bank Mapping</t>
        </is>
      </c>
      <c r="D351" s="15" t="inlineStr">
        <is>
          <t>Optional code for export</t>
        </is>
      </c>
      <c r="E351" s="15" t="inlineStr">
        <is>
          <t>Built</t>
        </is>
      </c>
      <c r="F351" s="15" t="inlineStr">
        <is>
          <t>HRMS &gt; Payroll &gt; Salary Structure &gt; Component editor</t>
        </is>
      </c>
      <c r="G351" s="15" t="inlineStr"/>
    </row>
    <row r="352">
      <c r="A352" s="15" t="n">
        <v>348</v>
      </c>
      <c r="B352" s="15" t="inlineStr">
        <is>
          <t>24. Salary Component Configuration</t>
        </is>
      </c>
      <c r="C352" s="15" t="inlineStr">
        <is>
          <t>Lifecycle</t>
        </is>
      </c>
      <c r="D352" s="15" t="inlineStr">
        <is>
          <t>Draft, Approved, Active, Superseded, Retired</t>
        </is>
      </c>
      <c r="E352" s="15" t="inlineStr">
        <is>
          <t>Built</t>
        </is>
      </c>
      <c r="F352" s="15" t="inlineStr">
        <is>
          <t>HRMS &gt; Payroll &gt; Salary Structure &gt; Component editor</t>
        </is>
      </c>
      <c r="G352" s="15" t="inlineStr">
        <is>
          <t>DONE 24 Oct: Draft -&gt; Approved (on approval) -&gt; Active (on activation) -&gt; Superseded (previous version kept) / Retired; live components revised only through approval.</t>
        </is>
      </c>
    </row>
    <row r="353">
      <c r="A353" s="15" t="n">
        <v>349</v>
      </c>
      <c r="B353" s="15" t="inlineStr">
        <is>
          <t>25. Formula / Calculation Rule Engine</t>
        </is>
      </c>
      <c r="C353" s="15" t="inlineStr">
        <is>
          <t>Variables</t>
        </is>
      </c>
      <c r="D353" s="15" t="inlineStr">
        <is>
          <t>Prior calculated components, constants, GROSS, CTC</t>
        </is>
      </c>
      <c r="E353" s="15" t="inlineStr">
        <is>
          <t>Built</t>
        </is>
      </c>
      <c r="F353" s="15" t="inlineStr">
        <is>
          <t>HRMS &gt; Payroll &gt; Salary Structure &gt; Component editor</t>
        </is>
      </c>
      <c r="G353" s="15" t="inlineStr"/>
    </row>
    <row r="354">
      <c r="A354" s="15" t="n">
        <v>350</v>
      </c>
      <c r="B354" s="15" t="inlineStr">
        <is>
          <t>25. Formula / Calculation Rule Engine</t>
        </is>
      </c>
      <c r="C354" s="15" t="inlineStr">
        <is>
          <t>Variables</t>
        </is>
      </c>
      <c r="D354" s="15" t="inlineStr">
        <is>
          <t>Employee fields, attendance / payable days / LOP, payroll inputs</t>
        </is>
      </c>
      <c r="E354" s="15" t="inlineStr">
        <is>
          <t>Built</t>
        </is>
      </c>
      <c r="F354" s="15" t="inlineStr">
        <is>
          <t>HRMS &gt; Payroll &gt; Salary Structure &gt; Component editor</t>
        </is>
      </c>
      <c r="G354" s="15" t="inlineStr">
        <is>
          <t>Employee (EMP_*), attendance, structure, constants and earlier components; NEW 24 Oct: payroll inputs (INPUT_*). Custom fields are not variables.</t>
        </is>
      </c>
    </row>
    <row r="355">
      <c r="A355" s="15" t="n">
        <v>351</v>
      </c>
      <c r="B355" s="15" t="inlineStr">
        <is>
          <t>25. Formula / Calculation Rule Engine</t>
        </is>
      </c>
      <c r="C355" s="15" t="inlineStr">
        <is>
          <t>Operators</t>
        </is>
      </c>
      <c r="D355" s="15" t="inlineStr">
        <is>
          <t>Arithmetic, comparison, AND / OR, MIN, MAX, ROUND, FLOOR, CEIL, ABS</t>
        </is>
      </c>
      <c r="E355" s="15" t="inlineStr">
        <is>
          <t>Built</t>
        </is>
      </c>
      <c r="F355" s="15" t="inlineStr">
        <is>
          <t>HRMS &gt; Payroll &gt; Salary Structure &gt; Component editor</t>
        </is>
      </c>
      <c r="G355" s="15" t="inlineStr">
        <is>
          <t>No arbitrary code can run</t>
        </is>
      </c>
    </row>
    <row r="356">
      <c r="A356" s="15" t="n">
        <v>352</v>
      </c>
      <c r="B356" s="15" t="inlineStr">
        <is>
          <t>25. Formula / Calculation Rule Engine</t>
        </is>
      </c>
      <c r="C356" s="15" t="inlineStr">
        <is>
          <t>Conditions</t>
        </is>
      </c>
      <c r="D356" s="15" t="inlineStr">
        <is>
          <t>IF / ELSE eligibility and thresholds</t>
        </is>
      </c>
      <c r="E356" s="15" t="inlineStr">
        <is>
          <t>Built</t>
        </is>
      </c>
      <c r="F356" s="15" t="inlineStr">
        <is>
          <t>HRMS &gt; Payroll &gt; Salary Structure &gt; Component editor</t>
        </is>
      </c>
      <c r="G356" s="15" t="inlineStr"/>
    </row>
    <row r="357">
      <c r="A357" s="15" t="n">
        <v>353</v>
      </c>
      <c r="B357" s="15" t="inlineStr">
        <is>
          <t>25. Formula / Calculation Rule Engine</t>
        </is>
      </c>
      <c r="C357" s="15" t="inlineStr">
        <is>
          <t>Formula Versioning</t>
        </is>
      </c>
      <c r="D357" s="15" t="inlineStr">
        <is>
          <t>Version number and change history</t>
        </is>
      </c>
      <c r="E357" s="15" t="inlineStr">
        <is>
          <t>Built</t>
        </is>
      </c>
      <c r="F357" s="15" t="inlineStr">
        <is>
          <t>HRMS &gt; Payroll &gt; Salary Structure &gt; Component editor</t>
        </is>
      </c>
      <c r="G357" s="15" t="inlineStr"/>
    </row>
    <row r="358">
      <c r="A358" s="15" t="n">
        <v>354</v>
      </c>
      <c r="B358" s="15" t="inlineStr">
        <is>
          <t>25. Formula / Calculation Rule Engine</t>
        </is>
      </c>
      <c r="C358" s="15" t="inlineStr">
        <is>
          <t>Formula Versioning</t>
        </is>
      </c>
      <c r="D358" s="15" t="inlineStr">
        <is>
          <t>Effective dates, status and approval per formula version</t>
        </is>
      </c>
      <c r="E358" s="15" t="inlineStr">
        <is>
          <t>Built</t>
        </is>
      </c>
      <c r="F358" s="15" t="inlineStr">
        <is>
          <t>HRMS &gt; Payroll &gt; Salary Structure &gt; Component editor</t>
        </is>
      </c>
      <c r="G358" s="15" t="inlineStr">
        <is>
          <t>DONE 24 Oct: a formula revision is staged, approved, then activated as a new version; the old version is kept as Superseded.</t>
        </is>
      </c>
    </row>
    <row r="359">
      <c r="A359" s="15" t="n">
        <v>355</v>
      </c>
      <c r="B359" s="15" t="inlineStr">
        <is>
          <t>25. Formula / Calculation Rule Engine</t>
        </is>
      </c>
      <c r="C359" s="15" t="inlineStr">
        <is>
          <t>Dependency Validation</t>
        </is>
      </c>
      <c r="D359" s="15" t="inlineStr">
        <is>
          <t>Prevent circular dependencies; list affected components</t>
        </is>
      </c>
      <c r="E359" s="15" t="inlineStr">
        <is>
          <t>Built</t>
        </is>
      </c>
      <c r="F359" s="15" t="inlineStr">
        <is>
          <t>HRMS &gt; Payroll &gt; Salary Structure &gt; Component editor</t>
        </is>
      </c>
      <c r="G359" s="15" t="inlineStr"/>
    </row>
    <row r="360">
      <c r="A360" s="15" t="n">
        <v>356</v>
      </c>
      <c r="B360" s="15" t="inlineStr">
        <is>
          <t>25. Formula / Calculation Rule Engine</t>
        </is>
      </c>
      <c r="C360" s="15" t="inlineStr">
        <is>
          <t>Simulation</t>
        </is>
      </c>
      <c r="D360" s="15" t="inlineStr">
        <is>
          <t>Test against employees before activation</t>
        </is>
      </c>
      <c r="E360" s="15" t="inlineStr">
        <is>
          <t>Built</t>
        </is>
      </c>
      <c r="F360" s="15" t="inlineStr">
        <is>
          <t>HRMS &gt; Payroll &gt; Salary Structure &gt; Component editor</t>
        </is>
      </c>
      <c r="G360" s="15" t="inlineStr">
        <is>
          <t>Component 'Simulate change'</t>
        </is>
      </c>
    </row>
    <row r="361">
      <c r="A361" s="15" t="n">
        <v>357</v>
      </c>
      <c r="B361" s="15" t="inlineStr">
        <is>
          <t>25. Formula / Calculation Rule Engine</t>
        </is>
      </c>
      <c r="C361" s="15" t="inlineStr">
        <is>
          <t>Comparison</t>
        </is>
      </c>
      <c r="D361" s="15" t="inlineStr">
        <is>
          <t>Old result vs proposed rule</t>
        </is>
      </c>
      <c r="E361" s="15" t="inlineStr">
        <is>
          <t>Built</t>
        </is>
      </c>
      <c r="F361" s="15" t="inlineStr">
        <is>
          <t>HRMS &gt; Payroll &gt; Salary Structure &gt; Component editor</t>
        </is>
      </c>
      <c r="G361" s="15" t="inlineStr"/>
    </row>
    <row r="362">
      <c r="A362" s="15" t="n">
        <v>358</v>
      </c>
      <c r="B362" s="15" t="inlineStr">
        <is>
          <t>25. Formula / Calculation Rule Engine</t>
        </is>
      </c>
      <c r="C362" s="15" t="inlineStr">
        <is>
          <t>Audit</t>
        </is>
      </c>
      <c r="D362" s="15" t="inlineStr">
        <is>
          <t>Formula / component version stored on each payroll result</t>
        </is>
      </c>
      <c r="E362" s="15" t="inlineStr">
        <is>
          <t>Built</t>
        </is>
      </c>
      <c r="F362" s="15" t="inlineStr">
        <is>
          <t>HRMS &gt; Payroll &gt; Salary Structure &gt; Component editor</t>
        </is>
      </c>
      <c r="G362" s="15" t="inlineStr"/>
    </row>
    <row r="363">
      <c r="A363" s="15" t="n">
        <v>359</v>
      </c>
      <c r="B363" s="15" t="inlineStr">
        <is>
          <t>25. Formula / Calculation Rule Engine</t>
        </is>
      </c>
      <c r="C363" s="15" t="inlineStr">
        <is>
          <t>Failure Handling</t>
        </is>
      </c>
      <c r="D363" s="15" t="inlineStr">
        <is>
          <t>Calculation errors block approval</t>
        </is>
      </c>
      <c r="E363" s="15" t="inlineStr">
        <is>
          <t>Built</t>
        </is>
      </c>
      <c r="F363" s="15" t="inlineStr">
        <is>
          <t>HRMS &gt; Payroll &gt; Salary Structure &gt; Component editor</t>
        </is>
      </c>
      <c r="G363" s="15" t="inlineStr">
        <is>
          <t>Critical exceptions block submission</t>
        </is>
      </c>
    </row>
    <row r="364">
      <c r="A364" s="15" t="n">
        <v>360</v>
      </c>
      <c r="B364" s="15" t="inlineStr">
        <is>
          <t>26. Policy Versioning &amp; Effective Dates</t>
        </is>
      </c>
      <c r="C364" s="15" t="inlineStr">
        <is>
          <t>Rule</t>
        </is>
      </c>
      <c r="D364" s="15" t="inlineStr">
        <is>
          <t>Every material policy change creates a new version</t>
        </is>
      </c>
      <c r="E364" s="15" t="inlineStr">
        <is>
          <t>Built</t>
        </is>
      </c>
      <c r="F364" s="15" t="inlineStr">
        <is>
          <t>HRMS &gt; Employee Master Setup / Attendance / Payroll</t>
        </is>
      </c>
      <c r="G364" s="15" t="inlineStr">
        <is>
          <t>DONE 24 Oct: every save of the company attendance rules is a numbered version with old / new values, author, reason and effective date.</t>
        </is>
      </c>
    </row>
    <row r="365">
      <c r="A365" s="15" t="n">
        <v>361</v>
      </c>
      <c r="B365" s="15" t="inlineStr">
        <is>
          <t>26. Policy Versioning &amp; Effective Dates</t>
        </is>
      </c>
      <c r="C365" s="15" t="inlineStr">
        <is>
          <t>Rule</t>
        </is>
      </c>
      <c r="D365" s="15" t="inlineStr">
        <is>
          <t>Effective From and Effective To</t>
        </is>
      </c>
      <c r="E365" s="15" t="inlineStr">
        <is>
          <t>Built</t>
        </is>
      </c>
      <c r="F365" s="15" t="inlineStr">
        <is>
          <t>HRMS &gt; Employee Master Setup / Attendance / Payroll</t>
        </is>
      </c>
      <c r="G365" s="15" t="inlineStr">
        <is>
          <t>DONE 24 Oct: Effective To can be set in the Policy Designer and the Payroll Policy screen.</t>
        </is>
      </c>
    </row>
    <row r="366">
      <c r="A366" s="15" t="n">
        <v>362</v>
      </c>
      <c r="B366" s="15" t="inlineStr">
        <is>
          <t>26. Policy Versioning &amp; Effective Dates</t>
        </is>
      </c>
      <c r="C366" s="15" t="inlineStr">
        <is>
          <t>Rule</t>
        </is>
      </c>
      <c r="D366" s="15" t="inlineStr">
        <is>
          <t>Scope by company, location, department, grade, category, shift, payroll group</t>
        </is>
      </c>
      <c r="E366" s="15" t="inlineStr">
        <is>
          <t>Built</t>
        </is>
      </c>
      <c r="F366" s="15" t="inlineStr">
        <is>
          <t>HRMS &gt; Employee Master Setup / Attendance / Payroll</t>
        </is>
      </c>
      <c r="G366" s="15" t="inlineStr">
        <is>
          <t>DONE 24 Oct: all scope keys in the Policy Designer; Payroll Policy screen scopes by location, grade, category and payroll group.</t>
        </is>
      </c>
    </row>
    <row r="367">
      <c r="A367" s="15" t="n">
        <v>363</v>
      </c>
      <c r="B367" s="15" t="inlineStr">
        <is>
          <t>26. Policy Versioning &amp; Effective Dates</t>
        </is>
      </c>
      <c r="C367" s="15" t="inlineStr">
        <is>
          <t>Rule</t>
        </is>
      </c>
      <c r="D367" s="15" t="inlineStr">
        <is>
          <t>Priority / specificity rule when several policies match</t>
        </is>
      </c>
      <c r="E367" s="15" t="inlineStr">
        <is>
          <t>Built</t>
        </is>
      </c>
      <c r="F367" s="15" t="inlineStr">
        <is>
          <t>HRMS &gt; Employee Master Setup / Attendance / Payroll</t>
        </is>
      </c>
      <c r="G367" s="15" t="inlineStr">
        <is>
          <t>Employee shift &gt; most specific match &gt; company timing</t>
        </is>
      </c>
    </row>
    <row r="368">
      <c r="A368" s="15" t="n">
        <v>364</v>
      </c>
      <c r="B368" s="15" t="inlineStr">
        <is>
          <t>26. Policy Versioning &amp; Effective Dates</t>
        </is>
      </c>
      <c r="C368" s="15" t="inlineStr">
        <is>
          <t>Rule</t>
        </is>
      </c>
      <c r="D368" s="15" t="inlineStr">
        <is>
          <t>Historical records keep the version used</t>
        </is>
      </c>
      <c r="E368" s="15" t="inlineStr">
        <is>
          <t>Built</t>
        </is>
      </c>
      <c r="F368" s="15" t="inlineStr">
        <is>
          <t>HRMS &gt; Employee Master Setup / Attendance / Payroll</t>
        </is>
      </c>
      <c r="G368" s="15" t="inlineStr"/>
    </row>
    <row r="369">
      <c r="A369" s="15" t="n">
        <v>365</v>
      </c>
      <c r="B369" s="15" t="inlineStr">
        <is>
          <t>26. Policy Versioning &amp; Effective Dates</t>
        </is>
      </c>
      <c r="C369" s="15" t="inlineStr">
        <is>
          <t>Rule</t>
        </is>
      </c>
      <c r="D369" s="15" t="inlineStr">
        <is>
          <t>Retroactive change needs an authorised process</t>
        </is>
      </c>
      <c r="E369" s="15" t="inlineStr">
        <is>
          <t>Built</t>
        </is>
      </c>
      <c r="F369" s="15" t="inlineStr">
        <is>
          <t>HRMS &gt; Employee Master Setup / Attendance / Payroll</t>
        </is>
      </c>
      <c r="G369" s="15" t="inlineStr">
        <is>
          <t>Back-dating needs a reason and cannot enter locked months</t>
        </is>
      </c>
    </row>
    <row r="370">
      <c r="A370" s="15" t="n">
        <v>366</v>
      </c>
      <c r="B370" s="15" t="inlineStr">
        <is>
          <t>26. Policy Versioning &amp; Effective Dates</t>
        </is>
      </c>
      <c r="C370" s="15" t="inlineStr">
        <is>
          <t>Rule</t>
        </is>
      </c>
      <c r="D370" s="15" t="inlineStr">
        <is>
          <t>Draft preview / simulation before activation</t>
        </is>
      </c>
      <c r="E370" s="15" t="inlineStr">
        <is>
          <t>Built</t>
        </is>
      </c>
      <c r="F370" s="15" t="inlineStr">
        <is>
          <t>HRMS &gt; Employee Master Setup / Attendance / Payroll</t>
        </is>
      </c>
      <c r="G370" s="15" t="inlineStr">
        <is>
          <t>DONE 24 Oct: previews for regularisation, closure and payroll policy drafts as well as daily rules and components.</t>
        </is>
      </c>
    </row>
    <row r="371">
      <c r="A371" s="15" t="n">
        <v>367</v>
      </c>
      <c r="B371" s="15" t="inlineStr">
        <is>
          <t>27. Configuration Change Approval Flow</t>
        </is>
      </c>
      <c r="C371" s="15" t="inlineStr">
        <is>
          <t>Stage</t>
        </is>
      </c>
      <c r="D371" s="15" t="inlineStr">
        <is>
          <t>Request (change and business reason)</t>
        </is>
      </c>
      <c r="E371" s="15" t="inlineStr">
        <is>
          <t>Built</t>
        </is>
      </c>
      <c r="F371" s="15" t="inlineStr">
        <is>
          <t>HRMS &gt; Employee Master Setup / Attendance / Payroll</t>
        </is>
      </c>
      <c r="G371" s="15" t="inlineStr">
        <is>
          <t>Change request with a mandatory business reason, requester and timestamp.</t>
        </is>
      </c>
    </row>
    <row r="372">
      <c r="A372" s="15" t="n">
        <v>368</v>
      </c>
      <c r="B372" s="15" t="inlineStr">
        <is>
          <t>27. Configuration Change Approval Flow</t>
        </is>
      </c>
      <c r="C372" s="15" t="inlineStr">
        <is>
          <t>Stage</t>
        </is>
      </c>
      <c r="D372" s="15" t="inlineStr">
        <is>
          <t>Draft</t>
        </is>
      </c>
      <c r="E372" s="15" t="inlineStr">
        <is>
          <t>Built</t>
        </is>
      </c>
      <c r="F372" s="15" t="inlineStr">
        <is>
          <t>HRMS &gt; Employee Master Setup / Attendance / Payroll</t>
        </is>
      </c>
      <c r="G372" s="15" t="inlineStr">
        <is>
          <t>DONE 24 Oct: an Active component / formula revision is held as a draft until approved and activated.</t>
        </is>
      </c>
    </row>
    <row r="373">
      <c r="A373" s="15" t="n">
        <v>369</v>
      </c>
      <c r="B373" s="15" t="inlineStr">
        <is>
          <t>27. Configuration Change Approval Flow</t>
        </is>
      </c>
      <c r="C373" s="15" t="inlineStr">
        <is>
          <t>Stage</t>
        </is>
      </c>
      <c r="D373" s="15" t="inlineStr">
        <is>
          <t>Impact Analysis</t>
        </is>
      </c>
      <c r="E373" s="15" t="inlineStr">
        <is>
          <t>Built</t>
        </is>
      </c>
      <c r="F373" s="15" t="inlineStr">
        <is>
          <t>HRMS &gt; Employee Master Setup / Attendance / Payroll</t>
        </is>
      </c>
      <c r="G373" s="15" t="inlineStr">
        <is>
          <t>DONE 24 Oct: impact analysis lists the open and closed attendance / payroll periods the change reaches.</t>
        </is>
      </c>
    </row>
    <row r="374">
      <c r="A374" s="15" t="n">
        <v>370</v>
      </c>
      <c r="B374" s="15" t="inlineStr">
        <is>
          <t>27. Configuration Change Approval Flow</t>
        </is>
      </c>
      <c r="C374" s="15" t="inlineStr">
        <is>
          <t>Stage</t>
        </is>
      </c>
      <c r="D374" s="15" t="inlineStr">
        <is>
          <t>Test / Simulation</t>
        </is>
      </c>
      <c r="E374" s="15" t="inlineStr">
        <is>
          <t>Built</t>
        </is>
      </c>
      <c r="F374" s="15" t="inlineStr">
        <is>
          <t>HRMS &gt; Employee Master Setup / Attendance / Payroll</t>
        </is>
      </c>
      <c r="G374" s="15" t="inlineStr">
        <is>
          <t>DONE 24 Oct: simulation runs from the request (Approval Inbox and Policy Designer) and is recorded on it.</t>
        </is>
      </c>
    </row>
    <row r="375">
      <c r="A375" s="15" t="n">
        <v>371</v>
      </c>
      <c r="B375" s="15" t="inlineStr">
        <is>
          <t>27. Configuration Change Approval Flow</t>
        </is>
      </c>
      <c r="C375" s="15" t="inlineStr">
        <is>
          <t>Stage</t>
        </is>
      </c>
      <c r="D375" s="15" t="inlineStr">
        <is>
          <t>Approval (approve / reject / return)</t>
        </is>
      </c>
      <c r="E375" s="15" t="inlineStr">
        <is>
          <t>Built</t>
        </is>
      </c>
      <c r="F375" s="15" t="inlineStr">
        <is>
          <t>HRMS &gt; Employee Master Setup / Attendance / Payroll</t>
        </is>
      </c>
      <c r="G375" s="15" t="inlineStr">
        <is>
          <t>Approve / reject / return with comments; the requester cannot approve; Approval Inbox in the sidebar.</t>
        </is>
      </c>
    </row>
    <row r="376">
      <c r="A376" s="15" t="n">
        <v>372</v>
      </c>
      <c r="B376" s="15" t="inlineStr">
        <is>
          <t>27. Configuration Change Approval Flow</t>
        </is>
      </c>
      <c r="C376" s="15" t="inlineStr">
        <is>
          <t>Stage</t>
        </is>
      </c>
      <c r="D376" s="15" t="inlineStr">
        <is>
          <t>Effective Dating</t>
        </is>
      </c>
      <c r="E376" s="15" t="inlineStr">
        <is>
          <t>Built</t>
        </is>
      </c>
      <c r="F376" s="15" t="inlineStr">
        <is>
          <t>HRMS &gt; Employee Master Setup / Attendance / Payroll</t>
        </is>
      </c>
      <c r="G376" s="15" t="inlineStr"/>
    </row>
    <row r="377">
      <c r="A377" s="15" t="n">
        <v>373</v>
      </c>
      <c r="B377" s="15" t="inlineStr">
        <is>
          <t>27. Configuration Change Approval Flow</t>
        </is>
      </c>
      <c r="C377" s="15" t="inlineStr">
        <is>
          <t>Stage</t>
        </is>
      </c>
      <c r="D377" s="15" t="inlineStr">
        <is>
          <t>Activation</t>
        </is>
      </c>
      <c r="E377" s="15" t="inlineStr">
        <is>
          <t>Built</t>
        </is>
      </c>
      <c r="F377" s="15" t="inlineStr">
        <is>
          <t>HRMS &gt; Employee Master Setup / Attendance / Payroll</t>
        </is>
      </c>
      <c r="G377" s="15" t="inlineStr"/>
    </row>
    <row r="378">
      <c r="A378" s="15" t="n">
        <v>374</v>
      </c>
      <c r="B378" s="15" t="inlineStr">
        <is>
          <t>27. Configuration Change Approval Flow</t>
        </is>
      </c>
      <c r="C378" s="15" t="inlineStr">
        <is>
          <t>Stage</t>
        </is>
      </c>
      <c r="D378" s="15" t="inlineStr">
        <is>
          <t>Runtime uses active version</t>
        </is>
      </c>
      <c r="E378" s="15" t="inlineStr">
        <is>
          <t>Built</t>
        </is>
      </c>
      <c r="F378" s="15" t="inlineStr">
        <is>
          <t>HRMS &gt; Employee Master Setup / Attendance / Payroll</t>
        </is>
      </c>
      <c r="G378" s="15" t="inlineStr"/>
    </row>
    <row r="379">
      <c r="A379" s="15" t="n">
        <v>375</v>
      </c>
      <c r="B379" s="15" t="inlineStr">
        <is>
          <t>27. Configuration Change Approval Flow</t>
        </is>
      </c>
      <c r="C379" s="15" t="inlineStr">
        <is>
          <t>Stage</t>
        </is>
      </c>
      <c r="D379" s="15" t="inlineStr">
        <is>
          <t>History immutable</t>
        </is>
      </c>
      <c r="E379" s="15" t="inlineStr">
        <is>
          <t>Built</t>
        </is>
      </c>
      <c r="F379" s="15" t="inlineStr">
        <is>
          <t>HRMS &gt; Employee Master Setup / Attendance / Payroll</t>
        </is>
      </c>
      <c r="G379" s="15" t="inlineStr"/>
    </row>
    <row r="380">
      <c r="A380" s="15" t="n">
        <v>376</v>
      </c>
      <c r="B380" s="15" t="inlineStr">
        <is>
          <t>29. Administrative Screens</t>
        </is>
      </c>
      <c r="C380" s="15" t="inlineStr">
        <is>
          <t>Screen</t>
        </is>
      </c>
      <c r="D380" s="15" t="inlineStr">
        <is>
          <t>Employee Field Configuration</t>
        </is>
      </c>
      <c r="E380" s="15" t="inlineStr">
        <is>
          <t>Built</t>
        </is>
      </c>
      <c r="F380" s="15" t="inlineStr">
        <is>
          <t>HRMS</t>
        </is>
      </c>
      <c r="G380" s="15" t="inlineStr">
        <is>
          <t>Employee Master Setup</t>
        </is>
      </c>
    </row>
    <row r="381">
      <c r="A381" s="15" t="n">
        <v>377</v>
      </c>
      <c r="B381" s="15" t="inlineStr">
        <is>
          <t>29. Administrative Screens</t>
        </is>
      </c>
      <c r="C381" s="15" t="inlineStr">
        <is>
          <t>Screen</t>
        </is>
      </c>
      <c r="D381" s="15" t="inlineStr">
        <is>
          <t>Attendance Field Configuration</t>
        </is>
      </c>
      <c r="E381" s="15" t="inlineStr">
        <is>
          <t>Built</t>
        </is>
      </c>
      <c r="F381" s="15" t="inlineStr">
        <is>
          <t>HRMS</t>
        </is>
      </c>
      <c r="G381" s="15" t="inlineStr">
        <is>
          <t>Employee Master Setup (Attendance module)</t>
        </is>
      </c>
    </row>
    <row r="382">
      <c r="A382" s="15" t="n">
        <v>378</v>
      </c>
      <c r="B382" s="15" t="inlineStr">
        <is>
          <t>29. Administrative Screens</t>
        </is>
      </c>
      <c r="C382" s="15" t="inlineStr">
        <is>
          <t>Screen</t>
        </is>
      </c>
      <c r="D382" s="15" t="inlineStr">
        <is>
          <t>Attendance Policy Designer</t>
        </is>
      </c>
      <c r="E382" s="15" t="inlineStr">
        <is>
          <t>Built</t>
        </is>
      </c>
      <c r="F382" s="15" t="inlineStr">
        <is>
          <t>HRMS</t>
        </is>
      </c>
      <c r="G382" s="15" t="inlineStr">
        <is>
          <t>Attendance &gt; Shifts / Settings</t>
        </is>
      </c>
    </row>
    <row r="383">
      <c r="A383" s="15" t="n">
        <v>379</v>
      </c>
      <c r="B383" s="15" t="inlineStr">
        <is>
          <t>29. Administrative Screens</t>
        </is>
      </c>
      <c r="C383" s="15" t="inlineStr">
        <is>
          <t>Screen</t>
        </is>
      </c>
      <c r="D383" s="15" t="inlineStr">
        <is>
          <t>Salary Component Master</t>
        </is>
      </c>
      <c r="E383" s="15" t="inlineStr">
        <is>
          <t>Built</t>
        </is>
      </c>
      <c r="F383" s="15" t="inlineStr">
        <is>
          <t>HRMS</t>
        </is>
      </c>
      <c r="G383" s="15" t="inlineStr">
        <is>
          <t>Payroll &gt; Salary Structure</t>
        </is>
      </c>
    </row>
    <row r="384">
      <c r="A384" s="15" t="n">
        <v>380</v>
      </c>
      <c r="B384" s="15" t="inlineStr">
        <is>
          <t>29. Administrative Screens</t>
        </is>
      </c>
      <c r="C384" s="15" t="inlineStr">
        <is>
          <t>Screen</t>
        </is>
      </c>
      <c r="D384" s="15" t="inlineStr">
        <is>
          <t>Payroll Formula Designer</t>
        </is>
      </c>
      <c r="E384" s="15" t="inlineStr">
        <is>
          <t>Built</t>
        </is>
      </c>
      <c r="F384" s="15" t="inlineStr">
        <is>
          <t>HRMS</t>
        </is>
      </c>
      <c r="G384" s="15" t="inlineStr">
        <is>
          <t>Component editor (Formula / Slab)</t>
        </is>
      </c>
    </row>
    <row r="385">
      <c r="A385" s="15" t="n">
        <v>381</v>
      </c>
      <c r="B385" s="15" t="inlineStr">
        <is>
          <t>29. Administrative Screens</t>
        </is>
      </c>
      <c r="C385" s="15" t="inlineStr">
        <is>
          <t>Screen</t>
        </is>
      </c>
      <c r="D385" s="15" t="inlineStr">
        <is>
          <t>Policy Version &amp; Scope</t>
        </is>
      </c>
      <c r="E385" s="15" t="inlineStr">
        <is>
          <t>Built</t>
        </is>
      </c>
      <c r="F385" s="15" t="inlineStr">
        <is>
          <t>HRMS</t>
        </is>
      </c>
      <c r="G385" s="15" t="inlineStr">
        <is>
          <t>DONE 24 Oct: versions, effective dates and full scope in the Policy Designer; versions, Effective To and scope on Payroll Policy.</t>
        </is>
      </c>
    </row>
    <row r="386">
      <c r="A386" s="15" t="n">
        <v>382</v>
      </c>
      <c r="B386" s="15" t="inlineStr">
        <is>
          <t>29. Administrative Screens</t>
        </is>
      </c>
      <c r="C386" s="15" t="inlineStr">
        <is>
          <t>Screen</t>
        </is>
      </c>
      <c r="D386" s="15" t="inlineStr">
        <is>
          <t>Configuration Impact / Dependency Viewer</t>
        </is>
      </c>
      <c r="E386" s="15" t="inlineStr">
        <is>
          <t>Built</t>
        </is>
      </c>
      <c r="F386" s="15" t="inlineStr">
        <is>
          <t>HRMS</t>
        </is>
      </c>
      <c r="G386" s="15" t="inlineStr">
        <is>
          <t>Audit &amp; Impact screen shows where a field, component or policy is used.</t>
        </is>
      </c>
    </row>
    <row r="387">
      <c r="A387" s="15" t="n">
        <v>383</v>
      </c>
      <c r="B387" s="15" t="inlineStr">
        <is>
          <t>29. Administrative Screens</t>
        </is>
      </c>
      <c r="C387" s="15" t="inlineStr">
        <is>
          <t>Screen</t>
        </is>
      </c>
      <c r="D387" s="15" t="inlineStr">
        <is>
          <t>Rule Simulation</t>
        </is>
      </c>
      <c r="E387" s="15" t="inlineStr">
        <is>
          <t>Built</t>
        </is>
      </c>
      <c r="F387" s="15" t="inlineStr">
        <is>
          <t>HRMS</t>
        </is>
      </c>
      <c r="G387" s="15" t="inlineStr">
        <is>
          <t>DONE 24 Oct: Rule Simulation tab on Configuration Audit &amp; Impact (any policy version or component, chosen employees, any month).</t>
        </is>
      </c>
    </row>
    <row r="388">
      <c r="A388" s="15" t="n">
        <v>384</v>
      </c>
      <c r="B388" s="15" t="inlineStr">
        <is>
          <t>29. Administrative Screens</t>
        </is>
      </c>
      <c r="C388" s="15" t="inlineStr">
        <is>
          <t>Screen</t>
        </is>
      </c>
      <c r="D388" s="15" t="inlineStr">
        <is>
          <t>Configuration Approval Inbox</t>
        </is>
      </c>
      <c r="E388" s="15" t="inlineStr">
        <is>
          <t>Built</t>
        </is>
      </c>
      <c r="F388" s="15" t="inlineStr">
        <is>
          <t>HRMS</t>
        </is>
      </c>
      <c r="G388" s="15" t="inlineStr">
        <is>
          <t>Approval Inbox screen is routed and in the sidebar.</t>
        </is>
      </c>
    </row>
    <row r="389">
      <c r="A389" s="15" t="n">
        <v>385</v>
      </c>
      <c r="B389" s="15" t="inlineStr">
        <is>
          <t>29. Administrative Screens</t>
        </is>
      </c>
      <c r="C389" s="15" t="inlineStr">
        <is>
          <t>Screen</t>
        </is>
      </c>
      <c r="D389" s="15" t="inlineStr">
        <is>
          <t>Configuration Audit Viewer</t>
        </is>
      </c>
      <c r="E389" s="15" t="inlineStr">
        <is>
          <t>Built</t>
        </is>
      </c>
      <c r="F389" s="15" t="inlineStr">
        <is>
          <t>HRMS</t>
        </is>
      </c>
      <c r="G389" s="15" t="inlineStr">
        <is>
          <t>Lists requester, approver, reason, decision trail and old / new definition, exportable; covers changes made through the approval flow.</t>
        </is>
      </c>
    </row>
    <row r="390">
      <c r="A390" s="15" t="n">
        <v>386</v>
      </c>
      <c r="B390" s="15" t="inlineStr">
        <is>
          <t>30. Configurability Acceptance Criteria</t>
        </is>
      </c>
      <c r="C390" s="15" t="inlineStr">
        <is>
          <t>Criterion</t>
        </is>
      </c>
      <c r="D390" s="15" t="inlineStr">
        <is>
          <t>HR adds an Employee Master field without code deployment</t>
        </is>
      </c>
      <c r="E390" s="15" t="inlineStr">
        <is>
          <t>Built</t>
        </is>
      </c>
      <c r="F390" s="15" t="inlineStr">
        <is>
          <t>HRMS &gt; Employee Master Setup / Attendance / Payroll</t>
        </is>
      </c>
      <c r="G390" s="15" t="inlineStr"/>
    </row>
    <row r="391">
      <c r="A391" s="15" t="n">
        <v>387</v>
      </c>
      <c r="B391" s="15" t="inlineStr">
        <is>
          <t>30. Configurability Acceptance Criteria</t>
        </is>
      </c>
      <c r="C391" s="15" t="inlineStr">
        <is>
          <t>Criterion</t>
        </is>
      </c>
      <c r="D391" s="15" t="inlineStr">
        <is>
          <t>Admin changes label, visibility, mandatory, validation, dropdowns</t>
        </is>
      </c>
      <c r="E391" s="15" t="inlineStr">
        <is>
          <t>Built</t>
        </is>
      </c>
      <c r="F391" s="15" t="inlineStr">
        <is>
          <t>HRMS &gt; Employee Master Setup / Attendance / Payroll</t>
        </is>
      </c>
      <c r="G391" s="15" t="inlineStr"/>
    </row>
    <row r="392">
      <c r="A392" s="15" t="n">
        <v>388</v>
      </c>
      <c r="B392" s="15" t="inlineStr">
        <is>
          <t>30. Configurability Acceptance Criteria</t>
        </is>
      </c>
      <c r="C392" s="15" t="inlineStr">
        <is>
          <t>Criterion</t>
        </is>
      </c>
      <c r="D392" s="15" t="inlineStr">
        <is>
          <t>Used fields retired, not deleted</t>
        </is>
      </c>
      <c r="E392" s="15" t="inlineStr">
        <is>
          <t>Built</t>
        </is>
      </c>
      <c r="F392" s="15" t="inlineStr">
        <is>
          <t>HRMS &gt; Employee Master Setup / Attendance / Payroll</t>
        </is>
      </c>
      <c r="G392" s="15" t="inlineStr"/>
    </row>
    <row r="393">
      <c r="A393" s="15" t="n">
        <v>389</v>
      </c>
      <c r="B393" s="15" t="inlineStr">
        <is>
          <t>30. Configurability Acceptance Criteria</t>
        </is>
      </c>
      <c r="C393" s="15" t="inlineStr">
        <is>
          <t>Criterion</t>
        </is>
      </c>
      <c r="D393" s="15" t="inlineStr">
        <is>
          <t>Future-dated attendance policy applied to a selected population</t>
        </is>
      </c>
      <c r="E393" s="15" t="inlineStr">
        <is>
          <t>Built</t>
        </is>
      </c>
      <c r="F393" s="15" t="inlineStr">
        <is>
          <t>HRMS &gt; Employee Master Setup / Attendance / Payroll</t>
        </is>
      </c>
      <c r="G393" s="15" t="inlineStr"/>
    </row>
    <row r="394">
      <c r="A394" s="15" t="n">
        <v>390</v>
      </c>
      <c r="B394" s="15" t="inlineStr">
        <is>
          <t>30. Configurability Acceptance Criteria</t>
        </is>
      </c>
      <c r="C394" s="15" t="inlineStr">
        <is>
          <t>Criterion</t>
        </is>
      </c>
      <c r="D394" s="15" t="inlineStr">
        <is>
          <t>Late / half-day change does not recalculate closed periods</t>
        </is>
      </c>
      <c r="E394" s="15" t="inlineStr">
        <is>
          <t>Built</t>
        </is>
      </c>
      <c r="F394" s="15" t="inlineStr">
        <is>
          <t>HRMS &gt; Employee Master Setup / Attendance / Payroll</t>
        </is>
      </c>
      <c r="G394" s="15" t="inlineStr"/>
    </row>
    <row r="395">
      <c r="A395" s="15" t="n">
        <v>391</v>
      </c>
      <c r="B395" s="15" t="inlineStr">
        <is>
          <t>30. Configurability Acceptance Criteria</t>
        </is>
      </c>
      <c r="C395" s="15" t="inlineStr">
        <is>
          <t>Criterion</t>
        </is>
      </c>
      <c r="D395" s="15" t="inlineStr">
        <is>
          <t>Payroll adds a component and configures calculation / payslip mapping</t>
        </is>
      </c>
      <c r="E395" s="15" t="inlineStr">
        <is>
          <t>Built</t>
        </is>
      </c>
      <c r="F395" s="15" t="inlineStr">
        <is>
          <t>HRMS &gt; Employee Master Setup / Attendance / Payroll</t>
        </is>
      </c>
      <c r="G395" s="15" t="inlineStr"/>
    </row>
    <row r="396">
      <c r="A396" s="15" t="n">
        <v>392</v>
      </c>
      <c r="B396" s="15" t="inlineStr">
        <is>
          <t>30. Configurability Acceptance Criteria</t>
        </is>
      </c>
      <c r="C396" s="15" t="inlineStr">
        <is>
          <t>Criterion</t>
        </is>
      </c>
      <c r="D396" s="15" t="inlineStr">
        <is>
          <t>Formula revised as a new version, simulated and approved before activation</t>
        </is>
      </c>
      <c r="E396" s="15" t="inlineStr">
        <is>
          <t>Built</t>
        </is>
      </c>
      <c r="F396" s="15" t="inlineStr">
        <is>
          <t>HRMS &gt; Employee Master Setup / Attendance / Payroll</t>
        </is>
      </c>
      <c r="G396" s="15" t="inlineStr">
        <is>
          <t>DONE 24 Oct: component edits go through request -&gt; impact -&gt; simulation -&gt; approval -&gt; activation.</t>
        </is>
      </c>
    </row>
    <row r="397">
      <c r="A397" s="15" t="n">
        <v>393</v>
      </c>
      <c r="B397" s="15" t="inlineStr">
        <is>
          <t>30. Configurability Acceptance Criteria</t>
        </is>
      </c>
      <c r="C397" s="15" t="inlineStr">
        <is>
          <t>Criterion</t>
        </is>
      </c>
      <c r="D397" s="15" t="inlineStr">
        <is>
          <t>Circular dependencies prevented</t>
        </is>
      </c>
      <c r="E397" s="15" t="inlineStr">
        <is>
          <t>Built</t>
        </is>
      </c>
      <c r="F397" s="15" t="inlineStr">
        <is>
          <t>HRMS &gt; Employee Master Setup / Attendance / Payroll</t>
        </is>
      </c>
      <c r="G397" s="15" t="inlineStr"/>
    </row>
    <row r="398">
      <c r="A398" s="15" t="n">
        <v>394</v>
      </c>
      <c r="B398" s="15" t="inlineStr">
        <is>
          <t>30. Configurability Acceptance Criteria</t>
        </is>
      </c>
      <c r="C398" s="15" t="inlineStr">
        <is>
          <t>Criterion</t>
        </is>
      </c>
      <c r="D398" s="15" t="inlineStr">
        <is>
          <t>Payroll result records rule / component versions</t>
        </is>
      </c>
      <c r="E398" s="15" t="inlineStr">
        <is>
          <t>Built</t>
        </is>
      </c>
      <c r="F398" s="15" t="inlineStr">
        <is>
          <t>HRMS &gt; Employee Master Setup / Attendance / Payroll</t>
        </is>
      </c>
      <c r="G398" s="15" t="inlineStr"/>
    </row>
    <row r="399">
      <c r="A399" s="15" t="n">
        <v>395</v>
      </c>
      <c r="B399" s="15" t="inlineStr">
        <is>
          <t>30. Configurability Acceptance Criteria</t>
        </is>
      </c>
      <c r="C399" s="15" t="inlineStr">
        <is>
          <t>Criterion</t>
        </is>
      </c>
      <c r="D399" s="15" t="inlineStr">
        <is>
          <t>Configuration changes audited with requester, approver, reason, date, old / new</t>
        </is>
      </c>
      <c r="E399" s="15" t="inlineStr">
        <is>
          <t>Partially Built</t>
        </is>
      </c>
      <c r="F399" s="15" t="inlineStr">
        <is>
          <t>HRMS &gt; Employee Master Setup / Attendance / Payroll</t>
        </is>
      </c>
      <c r="G399" s="15" t="inlineStr">
        <is>
          <t>Full record (requester, approver, reason, date, old / new) for everything through the approval flow, now including salary components. The company attendance-rules screen and fields outside the approval flow record author, reason and old / new but no approver.</t>
        </is>
      </c>
    </row>
    <row r="400">
      <c r="A400" s="15" t="n">
        <v>396</v>
      </c>
      <c r="B400" s="15" t="inlineStr">
        <is>
          <t>30. Configurability Acceptance Criteria</t>
        </is>
      </c>
      <c r="C400" s="15" t="inlineStr">
        <is>
          <t>Criterion</t>
        </is>
      </c>
      <c r="D400" s="15" t="inlineStr">
        <is>
          <t>Impact / dependency check before retirement</t>
        </is>
      </c>
      <c r="E400" s="15" t="inlineStr">
        <is>
          <t>Built</t>
        </is>
      </c>
      <c r="F400" s="15" t="inlineStr">
        <is>
          <t>HRMS &gt; Employee Master Setup / Attendance / Payroll</t>
        </is>
      </c>
      <c r="G400" s="15" t="inlineStr">
        <is>
          <t>Impact check for fields, components and policies; retirement is blocked for components and (NEW 24 Oct) fields.</t>
        </is>
      </c>
    </row>
    <row r="401">
      <c r="A401" s="15" t="n">
        <v>397</v>
      </c>
      <c r="B401" s="15" t="inlineStr">
        <is>
          <t>30. Configurability Acceptance Criteria</t>
        </is>
      </c>
      <c r="C401" s="15" t="inlineStr">
        <is>
          <t>Criterion</t>
        </is>
      </c>
      <c r="D401" s="15" t="inlineStr">
        <is>
          <t>Configuration access separate from employee / manager access</t>
        </is>
      </c>
      <c r="E401" s="15" t="inlineStr">
        <is>
          <t>Built</t>
        </is>
      </c>
      <c r="F401" s="15" t="inlineStr">
        <is>
          <t>HRMS &gt; Employee Master Setup / Attendance / Payroll</t>
        </is>
      </c>
      <c r="G401" s="15" t="inlineStr"/>
    </row>
  </sheetData>
  <autoFilter ref="A4:G401"/>
  <conditionalFormatting sqref="E5:E401">
    <cfRule type="expression" priority="1" dxfId="0">
      <formula>$E5="Built"</formula>
    </cfRule>
    <cfRule type="expression" priority="2" dxfId="1">
      <formula>$E5="Partially Built"</formula>
    </cfRule>
    <cfRule type="expression" priority="3" dxfId="2">
      <formula>$E5="Missing"</formula>
    </cfRule>
    <cfRule type="expression" priority="4" dxfId="3">
      <formula>$E5="Pending Client Decision"</formula>
    </cfRule>
  </conditionalFormatting>
  <dataValidations count="1">
    <dataValidation sqref="E5:E401" showDropDown="0" showInputMessage="0" showErrorMessage="0" allowBlank="0" type="list">
      <formula1>"Built,Partially Built,Missing,Pending Client Decision"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24" customWidth="1" min="4" max="4"/>
    <col width="52" customWidth="1" min="5" max="5"/>
    <col width="62" customWidth="1" min="6" max="6"/>
  </cols>
  <sheetData>
    <row r="1">
      <c r="A1" s="14" t="inlineStr">
        <is>
          <t>Report: fields not fully built (Missing, then Partially Built, then Pending Client Decision)</t>
        </is>
      </c>
    </row>
    <row r="3" ht="30" customHeight="1">
      <c r="A3" s="4" t="inlineStr">
        <is>
          <t>#</t>
        </is>
      </c>
      <c r="B3" s="4" t="inlineStr">
        <is>
          <t>Build Status</t>
        </is>
      </c>
      <c r="C3" s="4" t="inlineStr">
        <is>
          <t>FRD Section</t>
        </is>
      </c>
      <c r="D3" s="4" t="inlineStr">
        <is>
          <t>Group</t>
        </is>
      </c>
      <c r="E3" s="4" t="inlineStr">
        <is>
          <t>Field / Requirement</t>
        </is>
      </c>
      <c r="F3" s="4" t="inlineStr">
        <is>
          <t>Gap</t>
        </is>
      </c>
    </row>
    <row r="4">
      <c r="A4" s="15" t="n">
        <v>1</v>
      </c>
      <c r="B4" s="15" t="inlineStr">
        <is>
          <t>Partially Built</t>
        </is>
      </c>
      <c r="C4" s="15" t="inlineStr">
        <is>
          <t>30. Configurability Acceptance Criteria</t>
        </is>
      </c>
      <c r="D4" s="15" t="inlineStr">
        <is>
          <t>Criterion</t>
        </is>
      </c>
      <c r="E4" s="15" t="inlineStr">
        <is>
          <t>Configuration changes audited with requester, approver, reason, date, old / new</t>
        </is>
      </c>
      <c r="F4" s="15" t="inlineStr">
        <is>
          <t>Full record (requester, approver, reason, date, old / new) for everything through the approval flow, now including salary components. The company attendance-rules screen and fields outside the approval flow record author, reason and old / new but no approver.</t>
        </is>
      </c>
    </row>
    <row r="5">
      <c r="A5" s="15" t="n">
        <v>2</v>
      </c>
      <c r="B5" s="15" t="inlineStr">
        <is>
          <t>Pending Client Decision</t>
        </is>
      </c>
      <c r="C5" s="15" t="inlineStr">
        <is>
          <t>9. Salary Structure Fields</t>
        </is>
      </c>
      <c r="D5" s="15" t="inlineStr">
        <is>
          <t>Deductions</t>
        </is>
      </c>
      <c r="E5" s="15" t="inlineStr">
        <is>
          <t>PF; ESI; PT; TDS</t>
        </is>
      </c>
      <c r="F5" s="15" t="inlineStr">
        <is>
          <t>PF / ESI / PT / TDS exist as manual inputs and can be set up as components; statutory rules await the client's section 19 decision.</t>
        </is>
      </c>
    </row>
    <row r="6">
      <c r="A6" s="15" t="n">
        <v>3</v>
      </c>
      <c r="B6" s="15" t="inlineStr">
        <is>
          <t>Pending Client Decision</t>
        </is>
      </c>
      <c r="C6" s="15" t="inlineStr">
        <is>
          <t>11. Payroll Calculation Logic</t>
        </is>
      </c>
      <c r="D6" s="15" t="inlineStr">
        <is>
          <t>Formula</t>
        </is>
      </c>
      <c r="E6" s="15" t="inlineStr">
        <is>
          <t>Statutory applicability and formulas</t>
        </is>
      </c>
      <c r="F6" s="15" t="inlineStr">
        <is>
          <t>FRD sections 11 / 19 leave statutory rules to the payroll workshop.</t>
        </is>
      </c>
    </row>
    <row r="7">
      <c r="A7" s="15" t="n">
        <v>4</v>
      </c>
      <c r="B7" s="15" t="inlineStr">
        <is>
          <t>Pending Client Decision</t>
        </is>
      </c>
      <c r="C7" s="15" t="inlineStr">
        <is>
          <t>14. Payslip</t>
        </is>
      </c>
      <c r="D7" s="15" t="inlineStr">
        <is>
          <t>Template</t>
        </is>
      </c>
      <c r="E7" s="15" t="inlineStr">
        <is>
          <t>Sparsh-approved format; version retained per payroll period</t>
        </is>
      </c>
      <c r="F7" s="15" t="inlineStr">
        <is>
          <t>Template versioning and per-period freeze built; the Sparsh-approved format is still to come (section 19).</t>
        </is>
      </c>
    </row>
  </sheetData>
  <autoFilter ref="A3:F7"/>
  <conditionalFormatting sqref="B4:B7">
    <cfRule type="expression" priority="1" dxfId="0">
      <formula>$B4="Built"</formula>
    </cfRule>
    <cfRule type="expression" priority="2" dxfId="1">
      <formula>$B4="Partially Built"</formula>
    </cfRule>
    <cfRule type="expression" priority="3" dxfId="2">
      <formula>$B4="Missing"</formula>
    </cfRule>
    <cfRule type="expression" priority="4" dxfId="3">
      <formula>$B4="Pending Client Decision"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52" customWidth="1" min="4" max="4"/>
    <col width="34" customWidth="1" min="5" max="5"/>
    <col width="34" customWidth="1" min="6" max="6"/>
  </cols>
  <sheetData>
    <row r="1">
      <c r="A1" s="14" t="inlineStr">
        <is>
          <t>Values the FRD itself leaves undefined - to be confirmed by Sparsh Magic (nothing filled in by assumption)</t>
        </is>
      </c>
    </row>
    <row r="3" ht="30" customHeight="1">
      <c r="A3" s="4" t="inlineStr">
        <is>
          <t>#</t>
        </is>
      </c>
      <c r="B3" s="4" t="inlineStr">
        <is>
          <t>FRD Section</t>
        </is>
      </c>
      <c r="C3" s="4" t="inlineStr">
        <is>
          <t>Item</t>
        </is>
      </c>
      <c r="D3" s="4" t="inlineStr">
        <is>
          <t>What the FRD says</t>
        </is>
      </c>
      <c r="E3" s="4" t="inlineStr">
        <is>
          <t>Missing Value</t>
        </is>
      </c>
      <c r="F3" s="4" t="inlineStr">
        <is>
          <t>Value (to be filled by client)</t>
        </is>
      </c>
    </row>
    <row r="4">
      <c r="A4" s="15" t="n">
        <v>1</v>
      </c>
      <c r="B4" s="15" t="inlineStr">
        <is>
          <t>19</t>
        </is>
      </c>
      <c r="C4" s="15" t="inlineStr">
        <is>
          <t>Employee Categories</t>
        </is>
      </c>
      <c r="D4" s="15" t="inlineStr">
        <is>
          <t>Final list and applicability</t>
        </is>
      </c>
      <c r="E4" s="16" t="inlineStr">
        <is>
          <t>Not provided in the FRD</t>
        </is>
      </c>
      <c r="F4" s="17" t="n"/>
    </row>
    <row r="5">
      <c r="A5" s="15" t="n">
        <v>2</v>
      </c>
      <c r="B5" s="15" t="inlineStr">
        <is>
          <t>19</t>
        </is>
      </c>
      <c r="C5" s="15" t="inlineStr">
        <is>
          <t>Attendance Source</t>
        </is>
      </c>
      <c r="D5" s="15" t="inlineStr">
        <is>
          <t>Google, biometric, API, manual/import or combination</t>
        </is>
      </c>
      <c r="E5" s="16" t="inlineStr">
        <is>
          <t>Not in the FRD. Repo note says the client answered on 19 Oct: source is a label, no integration</t>
        </is>
      </c>
      <c r="F5" s="17" t="n"/>
    </row>
    <row r="6">
      <c r="A6" s="15" t="n">
        <v>3</v>
      </c>
      <c r="B6" s="15" t="inlineStr">
        <is>
          <t>19</t>
        </is>
      </c>
      <c r="C6" s="15" t="inlineStr">
        <is>
          <t>Late / Half-Day / LOP Rules</t>
        </is>
      </c>
      <c r="D6" s="15" t="inlineStr">
        <is>
          <t>Exact thresholds after grace / buffer</t>
        </is>
      </c>
      <c r="E6" s="16" t="inlineStr">
        <is>
          <t>Not provided in the FRD</t>
        </is>
      </c>
      <c r="F6" s="17" t="n"/>
    </row>
    <row r="7">
      <c r="A7" s="15" t="n">
        <v>4</v>
      </c>
      <c r="B7" s="15" t="inlineStr">
        <is>
          <t>19</t>
        </is>
      </c>
      <c r="C7" s="15" t="inlineStr">
        <is>
          <t>Monthly Attendance Cut-off</t>
        </is>
      </c>
      <c r="D7" s="15" t="inlineStr">
        <is>
          <t>Date and unlock authority</t>
        </is>
      </c>
      <c r="E7" s="16" t="inlineStr">
        <is>
          <t>Not provided in the FRD</t>
        </is>
      </c>
      <c r="F7" s="17" t="n"/>
    </row>
    <row r="8">
      <c r="A8" s="15" t="n">
        <v>5</v>
      </c>
      <c r="B8" s="15" t="inlineStr">
        <is>
          <t>19</t>
        </is>
      </c>
      <c r="C8" s="15" t="inlineStr">
        <is>
          <t>Salary Components</t>
        </is>
      </c>
      <c r="D8" s="15" t="inlineStr">
        <is>
          <t>Complete earning, deduction and employer-contribution catalogue</t>
        </is>
      </c>
      <c r="E8" s="16" t="inlineStr">
        <is>
          <t>Not provided in the FRD</t>
        </is>
      </c>
      <c r="F8" s="17" t="n"/>
    </row>
    <row r="9">
      <c r="A9" s="15" t="n">
        <v>6</v>
      </c>
      <c r="B9" s="15" t="inlineStr">
        <is>
          <t>19</t>
        </is>
      </c>
      <c r="C9" s="15" t="inlineStr">
        <is>
          <t>Statutory Applicability</t>
        </is>
      </c>
      <c r="D9" s="15" t="inlineStr">
        <is>
          <t>PF / ESI / PT / TDS and entity / location rules</t>
        </is>
      </c>
      <c r="E9" s="16" t="inlineStr">
        <is>
          <t>Not provided in the FRD</t>
        </is>
      </c>
      <c r="F9" s="17" t="n"/>
    </row>
    <row r="10">
      <c r="A10" s="15" t="n">
        <v>7</v>
      </c>
      <c r="B10" s="15" t="inlineStr">
        <is>
          <t>19</t>
        </is>
      </c>
      <c r="C10" s="15" t="inlineStr">
        <is>
          <t>Payroll Approval Matrix</t>
        </is>
      </c>
      <c r="D10" s="15" t="inlineStr">
        <is>
          <t>Exact maker / checker / finance approvers</t>
        </is>
      </c>
      <c r="E10" s="16" t="inlineStr">
        <is>
          <t>Not provided in the FRD</t>
        </is>
      </c>
      <c r="F10" s="17" t="n"/>
    </row>
    <row r="11">
      <c r="A11" s="15" t="n">
        <v>8</v>
      </c>
      <c r="B11" s="15" t="inlineStr">
        <is>
          <t>19</t>
        </is>
      </c>
      <c r="C11" s="15" t="inlineStr">
        <is>
          <t>Bank File Format</t>
        </is>
      </c>
      <c r="D11" s="15" t="inlineStr">
        <is>
          <t>Bank-specific layout and mandatory fields</t>
        </is>
      </c>
      <c r="E11" s="16" t="inlineStr">
        <is>
          <t>Not provided in the FRD</t>
        </is>
      </c>
      <c r="F11" s="17" t="n"/>
    </row>
    <row r="12">
      <c r="A12" s="15" t="n">
        <v>9</v>
      </c>
      <c r="B12" s="15" t="inlineStr">
        <is>
          <t>19</t>
        </is>
      </c>
      <c r="C12" s="15" t="inlineStr">
        <is>
          <t>Payslip Format</t>
        </is>
      </c>
      <c r="D12" s="15" t="inlineStr">
        <is>
          <t>Final approved Sparsh Magic payslip template</t>
        </is>
      </c>
      <c r="E12" s="16" t="inlineStr">
        <is>
          <t>Not provided in the FRD</t>
        </is>
      </c>
      <c r="F12" s="17" t="n"/>
    </row>
    <row r="13">
      <c r="A13" s="15" t="n">
        <v>10</v>
      </c>
      <c r="B13" s="15" t="inlineStr">
        <is>
          <t>19</t>
        </is>
      </c>
      <c r="C13" s="15" t="inlineStr">
        <is>
          <t>Payslip Release</t>
        </is>
      </c>
      <c r="D13" s="15" t="inlineStr">
        <is>
          <t>Immediate after approval or after confirmed bank processing</t>
        </is>
      </c>
      <c r="E13" s="16" t="inlineStr">
        <is>
          <t>Not decided in the FRD</t>
        </is>
      </c>
      <c r="F13" s="17" t="n"/>
    </row>
    <row r="14">
      <c r="A14" s="15" t="n">
        <v>11</v>
      </c>
      <c r="B14" s="15" t="inlineStr">
        <is>
          <t>19</t>
        </is>
      </c>
      <c r="C14" s="15" t="inlineStr">
        <is>
          <t>Payment Failure Process</t>
        </is>
      </c>
      <c r="D14" s="15" t="inlineStr">
        <is>
          <t>Owner and retry / reversal procedure</t>
        </is>
      </c>
      <c r="E14" s="16" t="inlineStr">
        <is>
          <t>Not provided in the FRD</t>
        </is>
      </c>
      <c r="F14" s="17" t="n"/>
    </row>
    <row r="15">
      <c r="A15" s="15" t="n">
        <v>12</v>
      </c>
      <c r="B15" s="15" t="inlineStr">
        <is>
          <t>1 / 11</t>
        </is>
      </c>
      <c r="C15" s="15" t="inlineStr">
        <is>
          <t>Statutory formulas (PF, ESI, PT, TDS)</t>
        </is>
      </c>
      <c r="D15" s="15" t="inlineStr">
        <is>
          <t>Subject to payroll workshop</t>
        </is>
      </c>
      <c r="E15" s="16" t="inlineStr">
        <is>
          <t>Not provided in the FRD</t>
        </is>
      </c>
      <c r="F15" s="17" t="n"/>
    </row>
    <row r="16">
      <c r="A16" s="15" t="n">
        <v>13</v>
      </c>
      <c r="B16" s="15" t="inlineStr">
        <is>
          <t>3</t>
        </is>
      </c>
      <c r="C16" s="15" t="inlineStr">
        <is>
          <t>Other approved statutory identifiers</t>
        </is>
      </c>
      <c r="D16" s="15" t="inlineStr">
        <is>
          <t>List of identifiers</t>
        </is>
      </c>
      <c r="E16" s="16" t="inlineStr">
        <is>
          <t>Not listed in the FRD</t>
        </is>
      </c>
      <c r="F16" s="17" t="n"/>
    </row>
    <row r="17">
      <c r="A17" s="15" t="n">
        <v>14</v>
      </c>
      <c r="B17" s="15" t="inlineStr">
        <is>
          <t>3</t>
        </is>
      </c>
      <c r="C17" s="15" t="inlineStr">
        <is>
          <t>Documents - 'other approved categories'</t>
        </is>
      </c>
      <c r="D17" s="15" t="inlineStr">
        <is>
          <t>List of categories</t>
        </is>
      </c>
      <c r="E17" s="16" t="inlineStr">
        <is>
          <t>Not listed in the FRD</t>
        </is>
      </c>
      <c r="F17" s="17" t="n"/>
    </row>
    <row r="18">
      <c r="A18" s="15" t="n">
        <v>15</v>
      </c>
      <c r="B18" s="15" t="inlineStr">
        <is>
          <t>3</t>
        </is>
      </c>
      <c r="C18" s="15" t="inlineStr">
        <is>
          <t>Documents - 'PSC'</t>
        </is>
      </c>
      <c r="D18" s="15" t="inlineStr">
        <is>
          <t>Meaning / definition of PSC</t>
        </is>
      </c>
      <c r="E18" s="16" t="inlineStr">
        <is>
          <t>Not defined in the FRD</t>
        </is>
      </c>
      <c r="F18" s="17" t="n"/>
    </row>
    <row r="19">
      <c r="A19" s="15" t="n">
        <v>16</v>
      </c>
      <c r="B19" s="15" t="inlineStr">
        <is>
          <t>5</t>
        </is>
      </c>
      <c r="C19" s="15" t="inlineStr">
        <is>
          <t>Monthly grace / buffer</t>
        </is>
      </c>
      <c r="D19" s="15" t="inlineStr">
        <is>
          <t>Marked 'if approved'</t>
        </is>
      </c>
      <c r="E19" s="16" t="inlineStr">
        <is>
          <t>Approval not stated</t>
        </is>
      </c>
      <c r="F19" s="17" t="n"/>
    </row>
    <row r="20">
      <c r="A20" s="15" t="n">
        <v>17</v>
      </c>
      <c r="B20" s="15" t="inlineStr">
        <is>
          <t>5</t>
        </is>
      </c>
      <c r="C20" s="15" t="inlineStr">
        <is>
          <t>Attendance Source</t>
        </is>
      </c>
      <c r="D20" s="15" t="inlineStr">
        <is>
          <t>'final source to be confirmed'</t>
        </is>
      </c>
      <c r="E20" s="16" t="inlineStr">
        <is>
          <t>Not in the FRD. Repo note says the client answered on 19 Oct: source is a label, no integration</t>
        </is>
      </c>
      <c r="F20" s="17" t="n"/>
    </row>
    <row r="21">
      <c r="A21" s="15" t="n">
        <v>18</v>
      </c>
      <c r="B21" s="15" t="inlineStr">
        <is>
          <t>9 / 10</t>
        </is>
      </c>
      <c r="C21" s="15" t="inlineStr">
        <is>
          <t>Bonus</t>
        </is>
      </c>
      <c r="D21" s="15" t="inlineStr">
        <is>
          <t>'where applicable' - applicability rule</t>
        </is>
      </c>
      <c r="E21" s="16" t="inlineStr">
        <is>
          <t>Not defined in the FRD</t>
        </is>
      </c>
      <c r="F21" s="17" t="n"/>
    </row>
    <row r="22">
      <c r="A22" s="15" t="n">
        <v>19</v>
      </c>
      <c r="B22" s="15" t="inlineStr">
        <is>
          <t>14</t>
        </is>
      </c>
      <c r="C22" s="15" t="inlineStr">
        <is>
          <t>LOP Days on payslip</t>
        </is>
      </c>
      <c r="D22" s="15" t="inlineStr">
        <is>
          <t>'if part of final approved format'</t>
        </is>
      </c>
      <c r="E22" s="16" t="inlineStr">
        <is>
          <t>Not decided</t>
        </is>
      </c>
      <c r="F22" s="17" t="n"/>
    </row>
    <row r="23">
      <c r="A23" s="15" t="n">
        <v>20</v>
      </c>
      <c r="B23" s="15" t="inlineStr">
        <is>
          <t>14</t>
        </is>
      </c>
      <c r="C23" s="15" t="inlineStr">
        <is>
          <t>Payslip release policy</t>
        </is>
      </c>
      <c r="D23" s="15" t="inlineStr">
        <is>
          <t>'subject to final release policy'</t>
        </is>
      </c>
      <c r="E23" s="16" t="inlineStr">
        <is>
          <t>Not provided</t>
        </is>
      </c>
      <c r="F23" s="17" t="n"/>
    </row>
    <row r="24">
      <c r="A24" s="15" t="n">
        <v>21</v>
      </c>
      <c r="B24" s="15" t="inlineStr">
        <is>
          <t>Cover</t>
        </is>
      </c>
      <c r="C24" s="15" t="inlineStr">
        <is>
          <t>Document date</t>
        </is>
      </c>
      <c r="D24" s="15" t="inlineStr">
        <is>
          <t>Prepared Date 12 Oct 2026 vs footer 14 Oct 2026</t>
        </is>
      </c>
      <c r="E24" s="16" t="inlineStr">
        <is>
          <t>Two different dates in the document</t>
        </is>
      </c>
      <c r="F24" s="17" t="n"/>
    </row>
    <row r="25">
      <c r="A25" s="15" t="n">
        <v>22</v>
      </c>
      <c r="B25" s="15" t="inlineStr">
        <is>
          <t>15</t>
        </is>
      </c>
      <c r="C25" s="15" t="inlineStr">
        <is>
          <t>ER Diagram (page 8)</t>
        </is>
      </c>
      <c r="D25" s="15" t="inlineStr">
        <is>
          <t>Page 8 carries only the caption; the diagram is on page 7</t>
        </is>
      </c>
      <c r="E25" s="16" t="inlineStr">
        <is>
          <t>Page 8 body empty</t>
        </is>
      </c>
      <c r="F2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70" customWidth="1" min="4" max="4"/>
    <col width="44" customWidth="1" min="5" max="5"/>
  </cols>
  <sheetData>
    <row r="1">
      <c r="A1" s="14" t="inlineStr">
        <is>
          <t>Defects in existing code found by the 24 Oct re-audit</t>
        </is>
      </c>
    </row>
    <row r="3" ht="30" customHeight="1">
      <c r="A3" s="4" t="inlineStr">
        <is>
          <t>#</t>
        </is>
      </c>
      <c r="B3" s="4" t="inlineStr">
        <is>
          <t>Defect</t>
        </is>
      </c>
      <c r="C3" s="4" t="inlineStr">
        <is>
          <t>FRD Sections</t>
        </is>
      </c>
      <c r="D3" s="4" t="inlineStr">
        <is>
          <t>What happens</t>
        </is>
      </c>
      <c r="E3" s="4" t="inlineStr">
        <is>
          <t>Status</t>
        </is>
      </c>
    </row>
    <row r="4">
      <c r="A4" s="15" t="n">
        <v>1</v>
      </c>
      <c r="B4" s="15" t="inlineStr">
        <is>
          <t>Salary component approval not enforced</t>
        </is>
      </c>
      <c r="C4" s="15" t="inlineStr">
        <is>
          <t>24 Lifecycle; 25 Formula Versioning; 27 Draft; 30</t>
        </is>
      </c>
      <c r="D4" s="15" t="inlineStr">
        <is>
          <t>Salary components are governed by default, but the component save never checked it, so the Component Editor changed a live formula or set lifecycle Active with no approval.</t>
        </is>
      </c>
      <c r="E4" s="15" t="inlineStr">
        <is>
          <t>FIXED 24 Oct: live revisions are staged and go through the approval flow.</t>
        </is>
      </c>
    </row>
    <row r="5">
      <c r="A5" s="15" t="n">
        <v>2</v>
      </c>
      <c r="B5" s="15" t="inlineStr">
        <is>
          <t>Payroll Policy screen's approval settings dropped</t>
        </is>
      </c>
      <c r="C5" s="15" t="inlineStr">
        <is>
          <t>21 Payroll Policy; 12 approval matrix</t>
        </is>
      </c>
      <c r="D5" s="15" t="inlineStr">
        <is>
          <t>PayrollPolicy.jsx sent checker_required, approver_distinct_from_checker and lock_cap; PayrollPolicyIn had no such fields, so they were silently discarded.</t>
        </is>
      </c>
      <c r="E5" s="15" t="inlineStr">
        <is>
          <t>FIXED 24 Oct: the request model accepts them.</t>
        </is>
      </c>
    </row>
    <row r="6">
      <c r="A6" s="15" t="n">
        <v>3</v>
      </c>
      <c r="B6" s="15" t="inlineStr">
        <is>
          <t>Regularisation request type dropped</t>
        </is>
      </c>
      <c r="C6" s="15" t="inlineStr">
        <is>
          <t>23 OD / Regularisation request types</t>
        </is>
      </c>
      <c r="D6" s="15" t="inlineStr">
        <is>
          <t>The service validates request_type against the configured types, but RegularizationIn had no such field, so with types configured every request was refused.</t>
        </is>
      </c>
      <c r="E6" s="15" t="inlineStr">
        <is>
          <t>FIXED 24 Oct: the request model and form carry the request type.</t>
        </is>
      </c>
    </row>
    <row r="7">
      <c r="A7" s="15" t="n">
        <v>4</v>
      </c>
      <c r="B7" s="15" t="inlineStr">
        <is>
          <t>Drafted change requests could not be sent for approval</t>
        </is>
      </c>
      <c r="C7" s="15" t="inlineStr">
        <is>
          <t>27 Request -&gt; Approval</t>
        </is>
      </c>
      <c r="D7" s="15" t="inlineStr">
        <is>
          <t>Payroll Policy, field and component changes create a Draft request, and no screen could analyse, simulate or submit it -- the approver only sees Pending Approval.</t>
        </is>
      </c>
      <c r="E7" s="15" t="inlineStr">
        <is>
          <t>FIXED 24 Oct: the Approval Inbox lets the drafter run simulation and send for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2026-10-24T12:19:28Z</dcterms:created>
  <dcterms:modified xmlns:dcterms="http://purl.org/dc/terms/" xmlns:xsi="http://www.w3.org/2001/XMLSchema-instance" xsi:type="dcterms:W3CDTF">2026-10-24T12:19:29Z</dcterms:modified>
</cp:coreProperties>
</file>